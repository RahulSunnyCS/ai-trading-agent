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stment" sheetId="1" r:id="rId5"/>
    <sheet state="visible" name="Sheet4" sheetId="2" r:id="rId6"/>
    <sheet state="visible" name="Trade" sheetId="3" r:id="rId7"/>
    <sheet state="visible" name="Portfolio line Chart" sheetId="4" r:id="rId8"/>
  </sheets>
  <definedNames/>
  <calcPr/>
</workbook>
</file>

<file path=xl/sharedStrings.xml><?xml version="1.0" encoding="utf-8"?>
<sst xmlns="http://schemas.openxmlformats.org/spreadsheetml/2006/main" count="32" uniqueCount="31">
  <si>
    <t>Date</t>
  </si>
  <si>
    <t>Indian Portfolio</t>
  </si>
  <si>
    <t>US Portfolio</t>
  </si>
  <si>
    <t>Satelite Portfolio</t>
  </si>
  <si>
    <t>Portfolio</t>
  </si>
  <si>
    <t>Nifty</t>
  </si>
  <si>
    <t>MidCap</t>
  </si>
  <si>
    <t>SmallCap</t>
  </si>
  <si>
    <t>Profit</t>
  </si>
  <si>
    <t>Percentage</t>
  </si>
  <si>
    <t>Daily Change</t>
  </si>
  <si>
    <t>Profit 2</t>
  </si>
  <si>
    <t>Percentage 2</t>
  </si>
  <si>
    <t>Daily Change 2</t>
  </si>
  <si>
    <t>Profit 3</t>
  </si>
  <si>
    <t>Percentage 3</t>
  </si>
  <si>
    <t>Daily Change 3</t>
  </si>
  <si>
    <t>Profit 4</t>
  </si>
  <si>
    <t>Percentage 4</t>
  </si>
  <si>
    <t>Daily Change 4</t>
  </si>
  <si>
    <t>Profit 5</t>
  </si>
  <si>
    <t>Percentage 5</t>
  </si>
  <si>
    <t>Daily Change 5</t>
  </si>
  <si>
    <t>Profit 6</t>
  </si>
  <si>
    <t>Percentage 6</t>
  </si>
  <si>
    <t>Daily Change 6</t>
  </si>
  <si>
    <t>Profit 7</t>
  </si>
  <si>
    <t>Percentage 7</t>
  </si>
  <si>
    <t>Daily Change 7</t>
  </si>
  <si>
    <t>\</t>
  </si>
  <si>
    <t>Avg Profit 50 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</si>
</sst>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2" xfId="0" applyAlignment="1" applyBorder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 shrinkToFit="0" vertical="center" wrapText="0"/>
    </xf>
    <xf borderId="0" fillId="0" fontId="1" numFmtId="2" xfId="0" applyAlignment="1" applyFont="1" applyNumberFormat="1">
      <alignment horizontal="center" readingOrder="0" shrinkToFit="0" vertical="center" wrapText="0"/>
    </xf>
    <xf borderId="0" fillId="0" fontId="3" numFmtId="164" xfId="0" applyAlignment="1" applyFont="1" applyNumberFormat="1">
      <alignment horizontal="center" readingOrder="0" shrinkToFit="0" vertical="center" wrapText="0"/>
    </xf>
    <xf borderId="0" fillId="0" fontId="3" numFmtId="2" xfId="0" applyAlignment="1" applyFont="1" applyNumberFormat="1">
      <alignment horizontal="center" readingOrder="0" shrinkToFit="0" vertical="center" wrapText="0"/>
    </xf>
    <xf borderId="0" fillId="0" fontId="3" numFmtId="2" xfId="0" applyAlignment="1" applyFont="1" applyNumberFormat="1">
      <alignment horizontal="center" shrinkToFit="0" vertical="center" wrapText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164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164" xfId="0" applyAlignment="1" applyFont="1" applyNumberFormat="1">
      <alignment horizontal="center" readingOrder="0"/>
    </xf>
    <xf borderId="0" fillId="0" fontId="3" numFmtId="2" xfId="0" applyAlignment="1" applyFont="1" applyNumberFormat="1">
      <alignment horizontal="center" readingOrder="0"/>
    </xf>
    <xf borderId="0" fillId="0" fontId="3" numFmtId="2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2" xfId="0" applyAlignment="1" applyFont="1" applyNumberFormat="1">
      <alignment horizontal="center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Investmen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Investment-style 2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chartsheet" Target="chart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Portfolio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Investment!$L$3:$L$979</c:f>
              <c:numCache/>
            </c:numRef>
          </c:val>
          <c:smooth val="0"/>
        </c:ser>
        <c:ser>
          <c:idx val="1"/>
          <c:order val="1"/>
          <c:tx>
            <c:v>Nifty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Investment!$O$3:$O$979</c:f>
              <c:numCache/>
            </c:numRef>
          </c:val>
          <c:smooth val="0"/>
        </c:ser>
        <c:ser>
          <c:idx val="2"/>
          <c:order val="2"/>
          <c:tx>
            <c:v>Mid Cap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Investment!$R$3:$R$979</c:f>
              <c:numCache/>
            </c:numRef>
          </c:val>
          <c:smooth val="0"/>
        </c:ser>
        <c:ser>
          <c:idx val="3"/>
          <c:order val="3"/>
          <c:tx>
            <c:v>Small Cap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Investment!$U$3:$U$979</c:f>
              <c:numCache/>
            </c:numRef>
          </c:val>
          <c:smooth val="0"/>
        </c:ser>
        <c:axId val="2055372270"/>
        <c:axId val="2001823367"/>
      </c:lineChart>
      <c:catAx>
        <c:axId val="20553722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1823367"/>
      </c:catAx>
      <c:valAx>
        <c:axId val="20018233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53722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V33" displayName="Table1" name="Table1" id="1">
  <tableColumns count="22">
    <tableColumn name="Date" id="1"/>
    <tableColumn name="Profit" id="2"/>
    <tableColumn name="Percentage" id="3"/>
    <tableColumn name="Daily Change" id="4"/>
    <tableColumn name="Profit 2" id="5"/>
    <tableColumn name="Percentage 2" id="6"/>
    <tableColumn name="Daily Change 2" id="7"/>
    <tableColumn name="Profit 3" id="8"/>
    <tableColumn name="Percentage 3" id="9"/>
    <tableColumn name="Daily Change 3" id="10"/>
    <tableColumn name="Profit 4" id="11"/>
    <tableColumn name="Percentage 4" id="12"/>
    <tableColumn name="Daily Change 4" id="13"/>
    <tableColumn name="Profit 5" id="14"/>
    <tableColumn name="Percentage 5" id="15"/>
    <tableColumn name="Daily Change 5" id="16"/>
    <tableColumn name="Profit 6" id="17"/>
    <tableColumn name="Percentage 6" id="18"/>
    <tableColumn name="Daily Change 6" id="19"/>
    <tableColumn name="Profit 7" id="20"/>
    <tableColumn name="Percentage 7" id="21"/>
    <tableColumn name="Daily Change 7" id="22"/>
  </tableColumns>
  <tableStyleInfo name="Investment-style" showColumnStripes="0" showFirstColumn="1" showLastColumn="1" showRowStripes="1"/>
</table>
</file>

<file path=xl/tables/table2.xml><?xml version="1.0" encoding="utf-8"?>
<table xmlns="http://schemas.openxmlformats.org/spreadsheetml/2006/main" headerRowCount="0" ref="C34:M72" displayName="Table_1" name="Table_1" id="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Investment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3" max="3" width="14.13"/>
    <col customWidth="1" min="4" max="4" width="15.25"/>
    <col customWidth="1" min="6" max="6" width="14.13"/>
    <col customWidth="1" min="7" max="7" width="15.25"/>
    <col customWidth="1" min="9" max="9" width="14.13"/>
    <col customWidth="1" min="10" max="10" width="15.25"/>
    <col customWidth="1" min="12" max="12" width="14.13"/>
    <col customWidth="1" min="13" max="13" width="15.25"/>
    <col customWidth="1" min="15" max="15" width="14.13"/>
    <col customWidth="1" min="16" max="16" width="15.25"/>
    <col customWidth="1" min="18" max="18" width="14.13"/>
    <col customWidth="1" min="19" max="19" width="15.25"/>
    <col customWidth="1" min="21" max="21" width="14.13"/>
    <col customWidth="1" min="22" max="22" width="15.25"/>
  </cols>
  <sheetData>
    <row r="1">
      <c r="A1" s="1" t="s">
        <v>0</v>
      </c>
      <c r="B1" s="2" t="s">
        <v>1</v>
      </c>
      <c r="C1" s="3"/>
      <c r="D1" s="4"/>
      <c r="E1" s="2" t="s">
        <v>2</v>
      </c>
      <c r="F1" s="3"/>
      <c r="G1" s="4"/>
      <c r="H1" s="2" t="s">
        <v>3</v>
      </c>
      <c r="I1" s="3"/>
      <c r="J1" s="4"/>
      <c r="K1" s="2" t="s">
        <v>4</v>
      </c>
      <c r="L1" s="3"/>
      <c r="M1" s="4"/>
      <c r="N1" s="2" t="s">
        <v>5</v>
      </c>
      <c r="O1" s="3"/>
      <c r="P1" s="4"/>
      <c r="Q1" s="5" t="s">
        <v>6</v>
      </c>
      <c r="R1" s="3"/>
      <c r="S1" s="4"/>
      <c r="T1" s="5" t="s">
        <v>7</v>
      </c>
      <c r="U1" s="3"/>
      <c r="V1" s="4"/>
      <c r="W1" s="6"/>
      <c r="X1" s="6"/>
      <c r="Y1" s="6"/>
      <c r="Z1" s="6"/>
    </row>
    <row r="2" ht="22.5" customHeight="1">
      <c r="A2" s="7" t="s">
        <v>0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 t="s">
        <v>13</v>
      </c>
      <c r="H2" s="8" t="s">
        <v>14</v>
      </c>
      <c r="I2" s="8" t="s">
        <v>15</v>
      </c>
      <c r="J2" s="8" t="s">
        <v>16</v>
      </c>
      <c r="K2" s="8" t="s">
        <v>17</v>
      </c>
      <c r="L2" s="8" t="s">
        <v>18</v>
      </c>
      <c r="M2" s="8" t="s">
        <v>19</v>
      </c>
      <c r="N2" s="8" t="s">
        <v>20</v>
      </c>
      <c r="O2" s="8" t="s">
        <v>21</v>
      </c>
      <c r="P2" s="8" t="s">
        <v>22</v>
      </c>
      <c r="Q2" s="8" t="s">
        <v>23</v>
      </c>
      <c r="R2" s="8" t="s">
        <v>24</v>
      </c>
      <c r="S2" s="8" t="s">
        <v>25</v>
      </c>
      <c r="T2" s="8" t="s">
        <v>26</v>
      </c>
      <c r="U2" s="8" t="s">
        <v>27</v>
      </c>
      <c r="V2" s="8" t="s">
        <v>28</v>
      </c>
      <c r="W2" s="6"/>
      <c r="X2" s="6"/>
      <c r="Y2" s="6"/>
      <c r="Z2" s="6"/>
    </row>
    <row r="3" ht="22.5" customHeight="1">
      <c r="A3" s="9">
        <v>46071.728331273145</v>
      </c>
      <c r="B3" s="10">
        <v>-179853.0</v>
      </c>
      <c r="C3" s="10">
        <v>-8.0</v>
      </c>
      <c r="D3" s="11"/>
      <c r="E3" s="10">
        <v>-8098.31</v>
      </c>
      <c r="F3" s="10">
        <v>-6.7</v>
      </c>
      <c r="G3" s="10" t="s">
        <v>29</v>
      </c>
      <c r="H3" s="10">
        <v>1952.0</v>
      </c>
      <c r="I3" s="10">
        <v>6.8</v>
      </c>
      <c r="J3" s="11"/>
      <c r="K3" s="10">
        <v>-185999.31</v>
      </c>
      <c r="L3" s="10">
        <v>-7.7</v>
      </c>
      <c r="M3" s="11"/>
      <c r="N3" s="10">
        <v>25819.35</v>
      </c>
      <c r="O3" s="10">
        <v>-0.5</v>
      </c>
      <c r="P3" s="11"/>
      <c r="Q3" s="10">
        <v>17123.45</v>
      </c>
      <c r="R3" s="10">
        <v>5.7</v>
      </c>
      <c r="S3" s="11"/>
      <c r="T3" s="10">
        <v>42.61</v>
      </c>
      <c r="U3" s="10">
        <v>-6.2</v>
      </c>
      <c r="V3" s="11"/>
      <c r="W3" s="12"/>
      <c r="X3" s="12"/>
      <c r="Y3" s="12"/>
      <c r="Z3" s="12"/>
    </row>
    <row r="4" ht="22.5" customHeight="1">
      <c r="A4" s="9">
        <v>46072.680031446755</v>
      </c>
      <c r="B4" s="13">
        <v>-197680.0</v>
      </c>
      <c r="C4" s="13">
        <v>-8.8</v>
      </c>
      <c r="D4" s="11">
        <f t="shared" ref="D4:D72" si="1">C4-C3</f>
        <v>-0.8</v>
      </c>
      <c r="E4" s="13">
        <v>-3326.97</v>
      </c>
      <c r="F4" s="13">
        <v>-2.8</v>
      </c>
      <c r="G4" s="11">
        <f t="shared" ref="G4:G72" si="2">F4-F3</f>
        <v>3.9</v>
      </c>
      <c r="H4" s="13">
        <v>1897.0</v>
      </c>
      <c r="I4" s="13">
        <v>6.6</v>
      </c>
      <c r="J4" s="11">
        <f t="shared" ref="J4:J72" si="3">I4-I3</f>
        <v>-0.2</v>
      </c>
      <c r="K4" s="13">
        <v>-199109.97</v>
      </c>
      <c r="L4" s="13">
        <v>-8.3</v>
      </c>
      <c r="M4" s="11">
        <f t="shared" ref="M4:M72" si="4">L4-L3</f>
        <v>-0.6</v>
      </c>
      <c r="N4" s="13">
        <v>25454.35</v>
      </c>
      <c r="O4" s="13">
        <v>-1.9</v>
      </c>
      <c r="P4" s="11">
        <f t="shared" ref="P4:P72" si="5">O4-O3</f>
        <v>-1.4</v>
      </c>
      <c r="Q4" s="13">
        <v>16844.25</v>
      </c>
      <c r="R4" s="13">
        <v>4.0</v>
      </c>
      <c r="S4" s="11">
        <f t="shared" ref="S4:S72" si="6">R4-R3</f>
        <v>-1.7</v>
      </c>
      <c r="T4" s="13">
        <v>42.07</v>
      </c>
      <c r="U4" s="13">
        <v>-7.4</v>
      </c>
      <c r="V4" s="11">
        <f t="shared" ref="V4:V72" si="7">U4-U3</f>
        <v>-1.2</v>
      </c>
      <c r="W4" s="12"/>
      <c r="X4" s="12"/>
      <c r="Y4" s="12"/>
      <c r="Z4" s="12"/>
    </row>
    <row r="5" ht="22.5" customHeight="1">
      <c r="A5" s="9">
        <v>46073.6800284375</v>
      </c>
      <c r="B5" s="13">
        <v>-220208.0</v>
      </c>
      <c r="C5" s="13">
        <v>-9.8</v>
      </c>
      <c r="D5" s="14">
        <f t="shared" si="1"/>
        <v>-1</v>
      </c>
      <c r="E5" s="13">
        <v>-975.28</v>
      </c>
      <c r="F5" s="13">
        <v>-0.8</v>
      </c>
      <c r="G5" s="14">
        <f t="shared" si="2"/>
        <v>2</v>
      </c>
      <c r="H5" s="13">
        <v>1582.0</v>
      </c>
      <c r="I5" s="13">
        <v>5.5</v>
      </c>
      <c r="J5" s="14">
        <f t="shared" si="3"/>
        <v>-1.1</v>
      </c>
      <c r="K5" s="13">
        <v>-219601.28</v>
      </c>
      <c r="L5" s="13">
        <v>-9.1</v>
      </c>
      <c r="M5" s="14">
        <f t="shared" si="4"/>
        <v>-0.8</v>
      </c>
      <c r="N5" s="13">
        <v>25571.25</v>
      </c>
      <c r="O5" s="13">
        <v>-1.5</v>
      </c>
      <c r="P5" s="14">
        <f t="shared" si="5"/>
        <v>0.4</v>
      </c>
      <c r="Q5" s="13">
        <v>16912.35</v>
      </c>
      <c r="R5" s="13">
        <v>4.4</v>
      </c>
      <c r="S5" s="14">
        <f t="shared" si="6"/>
        <v>0.4</v>
      </c>
      <c r="T5" s="13">
        <v>42.12</v>
      </c>
      <c r="U5" s="13">
        <v>-7.3</v>
      </c>
      <c r="V5" s="14">
        <f t="shared" si="7"/>
        <v>0.1</v>
      </c>
      <c r="W5" s="12"/>
      <c r="X5" s="12"/>
      <c r="Y5" s="12"/>
      <c r="Z5" s="12"/>
    </row>
    <row r="6" ht="22.5" customHeight="1">
      <c r="A6" s="15">
        <v>46076.68004689815</v>
      </c>
      <c r="B6" s="16">
        <v>-247909.0</v>
      </c>
      <c r="C6" s="16">
        <v>-11.1</v>
      </c>
      <c r="D6" s="17">
        <f t="shared" si="1"/>
        <v>-1.3</v>
      </c>
      <c r="E6" s="16">
        <v>2319.64</v>
      </c>
      <c r="F6" s="16">
        <v>1.9</v>
      </c>
      <c r="G6" s="14">
        <f t="shared" si="2"/>
        <v>2.7</v>
      </c>
      <c r="H6" s="16">
        <v>1269.5</v>
      </c>
      <c r="I6" s="16">
        <v>4.4</v>
      </c>
      <c r="J6" s="14">
        <f t="shared" si="3"/>
        <v>-1.1</v>
      </c>
      <c r="K6" s="16">
        <v>-244319.86</v>
      </c>
      <c r="L6" s="16">
        <v>-10.2</v>
      </c>
      <c r="M6" s="17">
        <f t="shared" si="4"/>
        <v>-1.1</v>
      </c>
      <c r="N6" s="16">
        <v>25713.0</v>
      </c>
      <c r="O6" s="16">
        <v>-0.9</v>
      </c>
      <c r="P6" s="17">
        <f t="shared" si="5"/>
        <v>0.6</v>
      </c>
      <c r="Q6" s="16">
        <v>16772.4</v>
      </c>
      <c r="R6" s="16">
        <v>3.5</v>
      </c>
      <c r="S6" s="17">
        <f t="shared" si="6"/>
        <v>-0.9</v>
      </c>
      <c r="T6" s="16">
        <v>42.3</v>
      </c>
      <c r="U6" s="16">
        <v>-6.9</v>
      </c>
      <c r="V6" s="17">
        <f t="shared" si="7"/>
        <v>0.4</v>
      </c>
      <c r="W6" s="12"/>
      <c r="X6" s="12"/>
      <c r="Y6" s="12"/>
      <c r="Z6" s="12"/>
    </row>
    <row r="7" ht="22.5" customHeight="1">
      <c r="A7" s="15">
        <v>46077.6800303125</v>
      </c>
      <c r="B7" s="16">
        <v>-277026.0</v>
      </c>
      <c r="C7" s="16">
        <v>-12.4</v>
      </c>
      <c r="D7" s="17">
        <f t="shared" si="1"/>
        <v>-1.3</v>
      </c>
      <c r="E7" s="16">
        <v>2766.02</v>
      </c>
      <c r="F7" s="16">
        <v>2.3</v>
      </c>
      <c r="G7" s="14">
        <f t="shared" si="2"/>
        <v>0.4</v>
      </c>
      <c r="H7" s="16">
        <v>1086.0</v>
      </c>
      <c r="I7" s="16">
        <v>3.8</v>
      </c>
      <c r="J7" s="14">
        <f t="shared" si="3"/>
        <v>-0.6</v>
      </c>
      <c r="K7" s="16">
        <v>-273173.98</v>
      </c>
      <c r="L7" s="16">
        <v>-11.5</v>
      </c>
      <c r="M7" s="17">
        <f t="shared" si="4"/>
        <v>-1.3</v>
      </c>
      <c r="N7" s="16">
        <v>25459.35</v>
      </c>
      <c r="O7" s="16">
        <v>-1.9</v>
      </c>
      <c r="P7" s="17">
        <f t="shared" si="5"/>
        <v>-1</v>
      </c>
      <c r="Q7" s="16">
        <v>16718.75</v>
      </c>
      <c r="R7" s="16">
        <v>3.2</v>
      </c>
      <c r="S7" s="17">
        <f t="shared" si="6"/>
        <v>-0.3</v>
      </c>
      <c r="T7" s="16">
        <v>42.12</v>
      </c>
      <c r="U7" s="16">
        <v>-7.3</v>
      </c>
      <c r="V7" s="17">
        <f t="shared" si="7"/>
        <v>-0.4</v>
      </c>
      <c r="W7" s="12"/>
      <c r="X7" s="12"/>
      <c r="Y7" s="12"/>
      <c r="Z7" s="12"/>
    </row>
    <row r="8" ht="22.5" customHeight="1">
      <c r="A8" s="15">
        <v>46078.680033576384</v>
      </c>
      <c r="B8" s="16">
        <v>-263542.0</v>
      </c>
      <c r="C8" s="16">
        <v>-11.8</v>
      </c>
      <c r="D8" s="17">
        <f t="shared" si="1"/>
        <v>0.6</v>
      </c>
      <c r="E8" s="16">
        <v>6938.2</v>
      </c>
      <c r="F8" s="16">
        <v>5.8</v>
      </c>
      <c r="G8" s="14">
        <f t="shared" si="2"/>
        <v>3.5</v>
      </c>
      <c r="H8" s="16">
        <v>1319.5</v>
      </c>
      <c r="I8" s="16">
        <v>4.6</v>
      </c>
      <c r="J8" s="14">
        <f t="shared" si="3"/>
        <v>0.8</v>
      </c>
      <c r="K8" s="16">
        <v>-255284.3</v>
      </c>
      <c r="L8" s="16">
        <v>-10.7</v>
      </c>
      <c r="M8" s="17">
        <f t="shared" si="4"/>
        <v>0.8</v>
      </c>
      <c r="N8" s="16">
        <v>25482.5</v>
      </c>
      <c r="O8" s="16">
        <v>-1.8</v>
      </c>
      <c r="P8" s="17">
        <f t="shared" si="5"/>
        <v>0.1</v>
      </c>
      <c r="Q8" s="16">
        <v>16828.7</v>
      </c>
      <c r="R8" s="16">
        <v>3.9</v>
      </c>
      <c r="S8" s="17">
        <f t="shared" si="6"/>
        <v>0.7</v>
      </c>
      <c r="T8" s="16">
        <v>42.33</v>
      </c>
      <c r="U8" s="16">
        <v>-6.8</v>
      </c>
      <c r="V8" s="17">
        <f t="shared" si="7"/>
        <v>0.5</v>
      </c>
      <c r="W8" s="12"/>
      <c r="X8" s="12"/>
      <c r="Y8" s="12"/>
      <c r="Z8" s="12"/>
    </row>
    <row r="9" ht="22.5" customHeight="1">
      <c r="A9" s="15">
        <v>46079.680072187504</v>
      </c>
      <c r="B9" s="16">
        <v>-281021.0</v>
      </c>
      <c r="C9" s="16">
        <v>-12.6</v>
      </c>
      <c r="D9" s="17">
        <f t="shared" si="1"/>
        <v>-0.8</v>
      </c>
      <c r="E9" s="16">
        <v>7763.13</v>
      </c>
      <c r="F9" s="16">
        <v>6.5</v>
      </c>
      <c r="G9" s="14">
        <f t="shared" si="2"/>
        <v>0.7</v>
      </c>
      <c r="H9" s="16">
        <v>1295.0</v>
      </c>
      <c r="I9" s="16">
        <v>4.5</v>
      </c>
      <c r="J9" s="14">
        <f t="shared" si="3"/>
        <v>-0.1</v>
      </c>
      <c r="K9" s="16">
        <v>-271962.87</v>
      </c>
      <c r="L9" s="16">
        <v>-11.4</v>
      </c>
      <c r="M9" s="17">
        <f t="shared" si="4"/>
        <v>-0.7</v>
      </c>
      <c r="N9" s="16">
        <v>25496.55</v>
      </c>
      <c r="O9" s="16">
        <v>-1.7</v>
      </c>
      <c r="P9" s="17">
        <f t="shared" si="5"/>
        <v>0.1</v>
      </c>
      <c r="Q9" s="16">
        <v>16945.05</v>
      </c>
      <c r="R9" s="16">
        <v>4.6</v>
      </c>
      <c r="S9" s="17">
        <f t="shared" si="6"/>
        <v>0.7</v>
      </c>
      <c r="T9" s="16">
        <v>42.3</v>
      </c>
      <c r="U9" s="16">
        <v>-6.9</v>
      </c>
      <c r="V9" s="17">
        <f t="shared" si="7"/>
        <v>-0.1</v>
      </c>
      <c r="W9" s="12"/>
      <c r="X9" s="12"/>
      <c r="Y9" s="12"/>
      <c r="Z9" s="12"/>
    </row>
    <row r="10" ht="22.5" customHeight="1">
      <c r="A10" s="15">
        <v>46080.680053958335</v>
      </c>
      <c r="B10" s="16">
        <v>-289520.0</v>
      </c>
      <c r="C10" s="16">
        <v>-12.9</v>
      </c>
      <c r="D10" s="17">
        <f t="shared" si="1"/>
        <v>-0.3</v>
      </c>
      <c r="E10" s="16">
        <v>8727.38</v>
      </c>
      <c r="F10" s="16">
        <v>7.3</v>
      </c>
      <c r="G10" s="14">
        <f t="shared" si="2"/>
        <v>0.8</v>
      </c>
      <c r="H10" s="16">
        <v>701.0</v>
      </c>
      <c r="I10" s="16">
        <v>2.4</v>
      </c>
      <c r="J10" s="14">
        <f t="shared" si="3"/>
        <v>-2.1</v>
      </c>
      <c r="K10" s="16">
        <v>-280091.62</v>
      </c>
      <c r="L10" s="16">
        <v>-11.7</v>
      </c>
      <c r="M10" s="17">
        <f t="shared" si="4"/>
        <v>-0.3</v>
      </c>
      <c r="N10" s="16">
        <v>25178.65</v>
      </c>
      <c r="O10" s="16">
        <v>-3.0</v>
      </c>
      <c r="P10" s="17">
        <f t="shared" si="5"/>
        <v>-1.3</v>
      </c>
      <c r="Q10" s="16">
        <v>16765.6</v>
      </c>
      <c r="R10" s="16">
        <v>3.5</v>
      </c>
      <c r="S10" s="17">
        <f t="shared" si="6"/>
        <v>-1.1</v>
      </c>
      <c r="T10" s="16">
        <v>41.78</v>
      </c>
      <c r="U10" s="16">
        <v>-8.1</v>
      </c>
      <c r="V10" s="17">
        <f t="shared" si="7"/>
        <v>-1.2</v>
      </c>
      <c r="W10" s="12"/>
      <c r="X10" s="12"/>
      <c r="Y10" s="12"/>
      <c r="Z10" s="12"/>
    </row>
    <row r="11" ht="22.5" customHeight="1">
      <c r="A11" s="15">
        <v>46083.68002666667</v>
      </c>
      <c r="B11" s="16">
        <v>-306679.0</v>
      </c>
      <c r="C11" s="16">
        <v>-13.7</v>
      </c>
      <c r="D11" s="17">
        <f t="shared" si="1"/>
        <v>-0.8</v>
      </c>
      <c r="E11" s="16">
        <v>10275.3</v>
      </c>
      <c r="F11" s="16">
        <v>8.5</v>
      </c>
      <c r="G11" s="14">
        <f t="shared" si="2"/>
        <v>1.2</v>
      </c>
      <c r="H11" s="16">
        <v>-303.0</v>
      </c>
      <c r="I11" s="16">
        <v>-1.0</v>
      </c>
      <c r="J11" s="14">
        <f t="shared" si="3"/>
        <v>-3.4</v>
      </c>
      <c r="K11" s="16">
        <v>-296706.7</v>
      </c>
      <c r="L11" s="16">
        <v>-12.4</v>
      </c>
      <c r="M11" s="17">
        <f t="shared" si="4"/>
        <v>-0.7</v>
      </c>
      <c r="N11" s="16">
        <v>24865.7</v>
      </c>
      <c r="O11" s="16">
        <v>-4.2</v>
      </c>
      <c r="P11" s="17">
        <f t="shared" si="5"/>
        <v>-1.2</v>
      </c>
      <c r="Q11" s="16">
        <v>16520.35</v>
      </c>
      <c r="R11" s="16">
        <v>2.0</v>
      </c>
      <c r="S11" s="17">
        <f t="shared" si="6"/>
        <v>-1.5</v>
      </c>
      <c r="T11" s="16">
        <v>41.22</v>
      </c>
      <c r="U11" s="16">
        <v>-9.3</v>
      </c>
      <c r="V11" s="17">
        <f t="shared" si="7"/>
        <v>-1.2</v>
      </c>
      <c r="W11" s="12"/>
      <c r="X11" s="12"/>
      <c r="Y11" s="12"/>
      <c r="Z11" s="12"/>
    </row>
    <row r="12" ht="22.5" customHeight="1">
      <c r="A12" s="15">
        <v>46084.680025925925</v>
      </c>
      <c r="B12" s="16">
        <v>-296692.0</v>
      </c>
      <c r="C12" s="16">
        <v>-14.0</v>
      </c>
      <c r="D12" s="17">
        <f t="shared" si="1"/>
        <v>-0.3</v>
      </c>
      <c r="E12" s="16">
        <v>12042.08</v>
      </c>
      <c r="F12" s="16">
        <v>10.0</v>
      </c>
      <c r="G12" s="14">
        <f t="shared" si="2"/>
        <v>1.5</v>
      </c>
      <c r="H12" s="16">
        <v>-303.0</v>
      </c>
      <c r="I12" s="16">
        <v>-1.0</v>
      </c>
      <c r="J12" s="14">
        <f t="shared" si="3"/>
        <v>0</v>
      </c>
      <c r="K12" s="16">
        <v>-284952.92</v>
      </c>
      <c r="L12" s="16">
        <v>-12.5</v>
      </c>
      <c r="M12" s="17">
        <f t="shared" si="4"/>
        <v>-0.1</v>
      </c>
      <c r="N12" s="16">
        <v>24865.7</v>
      </c>
      <c r="O12" s="16">
        <v>-4.2</v>
      </c>
      <c r="P12" s="17">
        <f t="shared" si="5"/>
        <v>0</v>
      </c>
      <c r="Q12" s="16">
        <v>16520.35</v>
      </c>
      <c r="R12" s="16">
        <v>2.0</v>
      </c>
      <c r="S12" s="17">
        <f t="shared" si="6"/>
        <v>0</v>
      </c>
      <c r="T12" s="16">
        <v>41.22</v>
      </c>
      <c r="U12" s="16">
        <v>-9.3</v>
      </c>
      <c r="V12" s="17">
        <f t="shared" si="7"/>
        <v>0</v>
      </c>
      <c r="W12" s="12"/>
      <c r="X12" s="12"/>
      <c r="Y12" s="12"/>
      <c r="Z12" s="12"/>
    </row>
    <row r="13" ht="22.5" customHeight="1">
      <c r="A13" s="15">
        <v>46085.68002706018</v>
      </c>
      <c r="B13" s="16">
        <v>-315319.0</v>
      </c>
      <c r="C13" s="16">
        <v>-14.8</v>
      </c>
      <c r="D13" s="17">
        <f t="shared" si="1"/>
        <v>-0.8</v>
      </c>
      <c r="E13" s="16">
        <v>615.81</v>
      </c>
      <c r="F13" s="16">
        <v>0.5</v>
      </c>
      <c r="G13" s="14">
        <f t="shared" si="2"/>
        <v>-9.5</v>
      </c>
      <c r="H13" s="16">
        <v>-321.5</v>
      </c>
      <c r="I13" s="16">
        <v>-1.1</v>
      </c>
      <c r="J13" s="14">
        <f t="shared" si="3"/>
        <v>-0.1</v>
      </c>
      <c r="K13" s="16">
        <v>-315024.69</v>
      </c>
      <c r="L13" s="16">
        <v>-13.9</v>
      </c>
      <c r="M13" s="17">
        <f t="shared" si="4"/>
        <v>-1.4</v>
      </c>
      <c r="N13" s="16">
        <v>24480.5</v>
      </c>
      <c r="O13" s="16">
        <v>-5.7</v>
      </c>
      <c r="P13" s="17">
        <f t="shared" si="5"/>
        <v>-1.5</v>
      </c>
      <c r="Q13" s="16">
        <v>16198.95</v>
      </c>
      <c r="R13" s="16">
        <v>0.0</v>
      </c>
      <c r="S13" s="17">
        <f t="shared" si="6"/>
        <v>-2</v>
      </c>
      <c r="T13" s="16">
        <v>40.06</v>
      </c>
      <c r="U13" s="16">
        <v>-11.8</v>
      </c>
      <c r="V13" s="17">
        <f t="shared" si="7"/>
        <v>-2.5</v>
      </c>
      <c r="W13" s="12"/>
      <c r="X13" s="12"/>
      <c r="Y13" s="12"/>
      <c r="Z13" s="12"/>
    </row>
    <row r="14" ht="22.5" customHeight="1">
      <c r="A14" s="15">
        <v>46086.680031689815</v>
      </c>
      <c r="B14" s="18">
        <f>-542086+200000</f>
        <v>-342086</v>
      </c>
      <c r="C14" s="13">
        <v>-13.100000000000001</v>
      </c>
      <c r="D14" s="17">
        <f t="shared" si="1"/>
        <v>1.7</v>
      </c>
      <c r="E14" s="16">
        <v>1987.79</v>
      </c>
      <c r="F14" s="16">
        <v>1.7</v>
      </c>
      <c r="G14" s="14">
        <f t="shared" si="2"/>
        <v>1.2</v>
      </c>
      <c r="H14" s="16">
        <v>-390.5</v>
      </c>
      <c r="I14" s="16">
        <v>-1.4</v>
      </c>
      <c r="J14" s="14">
        <f t="shared" si="3"/>
        <v>-0.3</v>
      </c>
      <c r="K14" s="16">
        <v>-340488.70999999996</v>
      </c>
      <c r="L14" s="16">
        <v>-11.7</v>
      </c>
      <c r="M14" s="17">
        <f t="shared" si="4"/>
        <v>2.2</v>
      </c>
      <c r="N14" s="16">
        <v>24765.9</v>
      </c>
      <c r="O14" s="16">
        <v>-4.6</v>
      </c>
      <c r="P14" s="17">
        <f t="shared" si="5"/>
        <v>1.1</v>
      </c>
      <c r="Q14" s="16">
        <v>16441.55</v>
      </c>
      <c r="R14" s="16">
        <v>1.5</v>
      </c>
      <c r="S14" s="17">
        <f t="shared" si="6"/>
        <v>1.5</v>
      </c>
      <c r="T14" s="16">
        <v>40.82</v>
      </c>
      <c r="U14" s="16">
        <v>-10.2</v>
      </c>
      <c r="V14" s="17">
        <f t="shared" si="7"/>
        <v>1.6</v>
      </c>
      <c r="W14" s="12"/>
      <c r="X14" s="12"/>
      <c r="Y14" s="12"/>
      <c r="Z14" s="12"/>
    </row>
    <row r="15" ht="22.5" customHeight="1">
      <c r="A15" s="15">
        <v>46087.68004133102</v>
      </c>
      <c r="B15" s="16">
        <f>-580793+200000</f>
        <v>-380793</v>
      </c>
      <c r="C15" s="13">
        <v>-14.8</v>
      </c>
      <c r="D15" s="17">
        <f t="shared" si="1"/>
        <v>-1.7</v>
      </c>
      <c r="E15" s="16">
        <v>-5746.25</v>
      </c>
      <c r="F15" s="16">
        <v>-4.8</v>
      </c>
      <c r="G15" s="14">
        <f t="shared" si="2"/>
        <v>-6.5</v>
      </c>
      <c r="H15" s="16">
        <v>-138.0</v>
      </c>
      <c r="I15" s="16">
        <v>-0.5</v>
      </c>
      <c r="J15" s="14">
        <f t="shared" si="3"/>
        <v>0.9</v>
      </c>
      <c r="K15" s="16">
        <v>-386677.25</v>
      </c>
      <c r="L15" s="16">
        <v>-13.5</v>
      </c>
      <c r="M15" s="17">
        <f t="shared" si="4"/>
        <v>-1.8</v>
      </c>
      <c r="N15" s="16">
        <v>24450.45</v>
      </c>
      <c r="O15" s="16">
        <v>-5.8</v>
      </c>
      <c r="P15" s="17">
        <f t="shared" si="5"/>
        <v>-1.2</v>
      </c>
      <c r="Q15" s="16">
        <v>16300.85</v>
      </c>
      <c r="R15" s="16">
        <v>0.6</v>
      </c>
      <c r="S15" s="17">
        <f t="shared" si="6"/>
        <v>-0.9</v>
      </c>
      <c r="T15" s="16">
        <v>40.72</v>
      </c>
      <c r="U15" s="16">
        <v>-10.4</v>
      </c>
      <c r="V15" s="17">
        <f t="shared" si="7"/>
        <v>-0.2</v>
      </c>
      <c r="W15" s="12"/>
      <c r="X15" s="12"/>
      <c r="Y15" s="12"/>
      <c r="Z15" s="12"/>
    </row>
    <row r="16" ht="22.5" customHeight="1">
      <c r="A16" s="15">
        <v>46090.6800510301</v>
      </c>
      <c r="B16" s="16">
        <v>-426165.0</v>
      </c>
      <c r="C16" s="13">
        <v>-16.7</v>
      </c>
      <c r="D16" s="17">
        <f t="shared" si="1"/>
        <v>-1.9</v>
      </c>
      <c r="E16" s="16">
        <v>-8003.64</v>
      </c>
      <c r="F16" s="16">
        <v>-6.7</v>
      </c>
      <c r="G16" s="14">
        <f t="shared" si="2"/>
        <v>-1.9</v>
      </c>
      <c r="H16" s="16">
        <v>-543.0</v>
      </c>
      <c r="I16" s="16">
        <v>-1.9</v>
      </c>
      <c r="J16" s="14">
        <f t="shared" si="3"/>
        <v>-1.4</v>
      </c>
      <c r="K16" s="16">
        <v>-434711.64</v>
      </c>
      <c r="L16" s="16">
        <v>-15.5</v>
      </c>
      <c r="M16" s="17">
        <f t="shared" si="4"/>
        <v>-2</v>
      </c>
      <c r="N16" s="16">
        <v>24028.05</v>
      </c>
      <c r="O16" s="16">
        <v>-7.4</v>
      </c>
      <c r="P16" s="17">
        <f t="shared" si="5"/>
        <v>-1.6</v>
      </c>
      <c r="Q16" s="16">
        <v>16005.45</v>
      </c>
      <c r="R16" s="16">
        <v>-1.2</v>
      </c>
      <c r="S16" s="17">
        <f t="shared" si="6"/>
        <v>-1.8</v>
      </c>
      <c r="T16" s="16">
        <v>39.95</v>
      </c>
      <c r="U16" s="16">
        <v>-12.1</v>
      </c>
      <c r="V16" s="17">
        <f t="shared" si="7"/>
        <v>-1.7</v>
      </c>
      <c r="W16" s="12"/>
      <c r="X16" s="12"/>
      <c r="Y16" s="12"/>
      <c r="Z16" s="12"/>
    </row>
    <row r="17" ht="22.5" customHeight="1">
      <c r="A17" s="15">
        <v>46091.680054930555</v>
      </c>
      <c r="B17" s="16">
        <v>-416506.0</v>
      </c>
      <c r="C17" s="13">
        <v>-16.3</v>
      </c>
      <c r="D17" s="17">
        <f t="shared" si="1"/>
        <v>0.4</v>
      </c>
      <c r="E17" s="16">
        <v>-5957.01</v>
      </c>
      <c r="F17" s="16">
        <v>-5.0</v>
      </c>
      <c r="G17" s="14">
        <f t="shared" si="2"/>
        <v>1.7</v>
      </c>
      <c r="H17" s="16">
        <v>-614.0</v>
      </c>
      <c r="I17" s="16">
        <v>-2.1</v>
      </c>
      <c r="J17" s="14">
        <f t="shared" si="3"/>
        <v>-0.2</v>
      </c>
      <c r="K17" s="16">
        <v>-423077.01</v>
      </c>
      <c r="L17" s="16">
        <v>-15.0</v>
      </c>
      <c r="M17" s="17">
        <f t="shared" si="4"/>
        <v>0.5</v>
      </c>
      <c r="N17" s="16">
        <v>24261.6</v>
      </c>
      <c r="O17" s="16">
        <v>-6.5</v>
      </c>
      <c r="P17" s="17">
        <f t="shared" si="5"/>
        <v>0.9</v>
      </c>
      <c r="Q17" s="16">
        <v>16262.25</v>
      </c>
      <c r="R17" s="16">
        <v>0.4</v>
      </c>
      <c r="S17" s="17">
        <f t="shared" si="6"/>
        <v>1.6</v>
      </c>
      <c r="T17" s="16">
        <v>40.81</v>
      </c>
      <c r="U17" s="16">
        <v>-10.2</v>
      </c>
      <c r="V17" s="17">
        <f t="shared" si="7"/>
        <v>1.9</v>
      </c>
      <c r="W17" s="12"/>
      <c r="X17" s="12"/>
      <c r="Y17" s="12"/>
      <c r="Z17" s="12"/>
    </row>
    <row r="18" ht="22.5" customHeight="1">
      <c r="A18" s="15">
        <v>46092.68002756944</v>
      </c>
      <c r="B18" s="16">
        <v>-416853.0</v>
      </c>
      <c r="C18" s="13">
        <v>-16.3</v>
      </c>
      <c r="D18" s="17">
        <f t="shared" si="1"/>
        <v>0</v>
      </c>
      <c r="E18" s="16">
        <v>-2915.35</v>
      </c>
      <c r="F18" s="16">
        <v>-2.4</v>
      </c>
      <c r="G18" s="14">
        <f t="shared" si="2"/>
        <v>2.6</v>
      </c>
      <c r="H18" s="16">
        <v>-1272.0</v>
      </c>
      <c r="I18" s="16">
        <v>-4.4</v>
      </c>
      <c r="J18" s="14">
        <f t="shared" si="3"/>
        <v>-2.3</v>
      </c>
      <c r="K18" s="16">
        <v>-421040.35</v>
      </c>
      <c r="L18" s="16">
        <v>-14.899999999999999</v>
      </c>
      <c r="M18" s="17">
        <f t="shared" si="4"/>
        <v>0.1</v>
      </c>
      <c r="N18" s="16">
        <v>23866.85</v>
      </c>
      <c r="O18" s="16">
        <v>-8.0</v>
      </c>
      <c r="P18" s="17">
        <f t="shared" si="5"/>
        <v>-1.5</v>
      </c>
      <c r="Q18" s="16">
        <v>15991.65</v>
      </c>
      <c r="R18" s="16">
        <v>-1.3</v>
      </c>
      <c r="S18" s="17">
        <f t="shared" si="6"/>
        <v>-1.7</v>
      </c>
      <c r="T18" s="16">
        <v>40.5</v>
      </c>
      <c r="U18" s="16">
        <v>-10.9</v>
      </c>
      <c r="V18" s="17">
        <f t="shared" si="7"/>
        <v>-0.7</v>
      </c>
      <c r="W18" s="12"/>
      <c r="X18" s="12"/>
      <c r="Y18" s="12"/>
      <c r="Z18" s="12"/>
    </row>
    <row r="19" ht="22.5" customHeight="1">
      <c r="A19" s="15">
        <v>46093.680032442135</v>
      </c>
      <c r="B19" s="16">
        <v>-451216.0</v>
      </c>
      <c r="C19" s="13">
        <v>-17.8</v>
      </c>
      <c r="D19" s="17">
        <f t="shared" si="1"/>
        <v>-1.5</v>
      </c>
      <c r="E19" s="16">
        <v>-4429.61</v>
      </c>
      <c r="F19" s="16">
        <v>-3.7</v>
      </c>
      <c r="G19" s="14">
        <f t="shared" si="2"/>
        <v>-1.3</v>
      </c>
      <c r="H19" s="16">
        <v>-1129.0</v>
      </c>
      <c r="I19" s="16">
        <v>-3.9</v>
      </c>
      <c r="J19" s="14">
        <f t="shared" si="3"/>
        <v>0.5</v>
      </c>
      <c r="K19" s="16">
        <v>-456774.61</v>
      </c>
      <c r="L19" s="16">
        <v>-16.4</v>
      </c>
      <c r="M19" s="17">
        <f t="shared" si="4"/>
        <v>-1.5</v>
      </c>
      <c r="N19" s="16">
        <v>23639.15</v>
      </c>
      <c r="O19" s="16">
        <v>-8.9</v>
      </c>
      <c r="P19" s="17">
        <f t="shared" si="5"/>
        <v>-0.9</v>
      </c>
      <c r="Q19" s="16">
        <v>15922.2</v>
      </c>
      <c r="R19" s="16">
        <v>-1.7</v>
      </c>
      <c r="S19" s="17">
        <f t="shared" si="6"/>
        <v>-0.4</v>
      </c>
      <c r="T19" s="16">
        <v>40.39</v>
      </c>
      <c r="U19" s="16">
        <v>-11.1</v>
      </c>
      <c r="V19" s="17">
        <f t="shared" si="7"/>
        <v>-0.2</v>
      </c>
      <c r="W19" s="12"/>
      <c r="X19" s="12"/>
      <c r="Y19" s="12"/>
      <c r="Z19" s="12"/>
    </row>
    <row r="20" ht="22.5" customHeight="1">
      <c r="A20" s="15">
        <v>46094.680048263894</v>
      </c>
      <c r="B20" s="16">
        <v>-478746.0</v>
      </c>
      <c r="C20" s="13">
        <v>-19.0</v>
      </c>
      <c r="D20" s="17">
        <f t="shared" si="1"/>
        <v>-1.2</v>
      </c>
      <c r="E20" s="16">
        <v>-7315.62</v>
      </c>
      <c r="F20" s="16">
        <v>-6.1</v>
      </c>
      <c r="G20" s="14">
        <f t="shared" si="2"/>
        <v>-2.4</v>
      </c>
      <c r="H20" s="16">
        <v>-1162.5</v>
      </c>
      <c r="I20" s="16">
        <v>-4.0</v>
      </c>
      <c r="J20" s="14">
        <f t="shared" si="3"/>
        <v>-0.1</v>
      </c>
      <c r="K20" s="16">
        <v>-487224.12</v>
      </c>
      <c r="L20" s="16">
        <v>-17.6</v>
      </c>
      <c r="M20" s="17">
        <f t="shared" si="4"/>
        <v>-1.2</v>
      </c>
      <c r="N20" s="16">
        <v>23151.1</v>
      </c>
      <c r="O20" s="16">
        <v>-10.8</v>
      </c>
      <c r="P20" s="17">
        <f t="shared" si="5"/>
        <v>-1.9</v>
      </c>
      <c r="Q20" s="16">
        <v>15523.7</v>
      </c>
      <c r="R20" s="16">
        <v>-4.2</v>
      </c>
      <c r="S20" s="17">
        <f t="shared" si="6"/>
        <v>-2.5</v>
      </c>
      <c r="T20" s="16">
        <v>39.28</v>
      </c>
      <c r="U20" s="16">
        <v>-13.6</v>
      </c>
      <c r="V20" s="17">
        <f t="shared" si="7"/>
        <v>-2.5</v>
      </c>
      <c r="W20" s="12"/>
      <c r="X20" s="12"/>
      <c r="Y20" s="12"/>
      <c r="Z20" s="12"/>
    </row>
    <row r="21" ht="22.5" customHeight="1">
      <c r="A21" s="15">
        <v>46097.68003268518</v>
      </c>
      <c r="B21" s="16">
        <v>-520166.0</v>
      </c>
      <c r="C21" s="13">
        <v>-20.7</v>
      </c>
      <c r="D21" s="17">
        <f t="shared" si="1"/>
        <v>-1.7</v>
      </c>
      <c r="E21" s="16">
        <v>-12677.14</v>
      </c>
      <c r="F21" s="16">
        <v>-10.5</v>
      </c>
      <c r="G21" s="14">
        <f t="shared" si="2"/>
        <v>-4.4</v>
      </c>
      <c r="H21" s="16">
        <v>-482.5</v>
      </c>
      <c r="I21" s="16">
        <v>-1.7</v>
      </c>
      <c r="J21" s="14">
        <f t="shared" si="3"/>
        <v>2.3</v>
      </c>
      <c r="K21" s="16">
        <v>-533325.64</v>
      </c>
      <c r="L21" s="16">
        <v>-19.4</v>
      </c>
      <c r="M21" s="17">
        <f t="shared" si="4"/>
        <v>-1.8</v>
      </c>
      <c r="N21" s="16">
        <v>23408.8</v>
      </c>
      <c r="O21" s="16">
        <v>-9.8</v>
      </c>
      <c r="P21" s="17">
        <f t="shared" si="5"/>
        <v>1</v>
      </c>
      <c r="Q21" s="16">
        <v>15497.0</v>
      </c>
      <c r="R21" s="16">
        <v>-4.3</v>
      </c>
      <c r="S21" s="17">
        <f t="shared" si="6"/>
        <v>-0.1</v>
      </c>
      <c r="T21" s="16">
        <v>39.0</v>
      </c>
      <c r="U21" s="16">
        <v>-14.2</v>
      </c>
      <c r="V21" s="17">
        <f t="shared" si="7"/>
        <v>-0.6</v>
      </c>
      <c r="W21" s="12"/>
      <c r="X21" s="12"/>
      <c r="Y21" s="12"/>
      <c r="Z21" s="12"/>
    </row>
    <row r="22" ht="22.5" customHeight="1">
      <c r="A22" s="15">
        <v>46098.68002792824</v>
      </c>
      <c r="B22" s="16">
        <v>-528211.0</v>
      </c>
      <c r="C22" s="13">
        <v>-21.1</v>
      </c>
      <c r="D22" s="17">
        <f t="shared" si="1"/>
        <v>-0.4</v>
      </c>
      <c r="E22" s="16">
        <v>-11701.39</v>
      </c>
      <c r="F22" s="16">
        <v>-9.7</v>
      </c>
      <c r="G22" s="14">
        <f t="shared" si="2"/>
        <v>0.8</v>
      </c>
      <c r="H22" s="16">
        <v>-276.5</v>
      </c>
      <c r="I22" s="16">
        <v>-1.0</v>
      </c>
      <c r="J22" s="14">
        <f t="shared" si="3"/>
        <v>0.7</v>
      </c>
      <c r="K22" s="16">
        <v>-540188.89</v>
      </c>
      <c r="L22" s="16">
        <v>-19.7</v>
      </c>
      <c r="M22" s="17">
        <f t="shared" si="4"/>
        <v>-0.3</v>
      </c>
      <c r="N22" s="16">
        <v>23581.15</v>
      </c>
      <c r="O22" s="16">
        <v>-9.1</v>
      </c>
      <c r="P22" s="17">
        <f t="shared" si="5"/>
        <v>0.7</v>
      </c>
      <c r="Q22" s="16">
        <v>15656.75</v>
      </c>
      <c r="R22" s="16">
        <v>-3.4</v>
      </c>
      <c r="S22" s="17">
        <f t="shared" si="6"/>
        <v>0.9</v>
      </c>
      <c r="T22" s="16">
        <v>39.44</v>
      </c>
      <c r="U22" s="16">
        <v>-13.2</v>
      </c>
      <c r="V22" s="17">
        <f t="shared" si="7"/>
        <v>1</v>
      </c>
      <c r="W22" s="12"/>
      <c r="X22" s="12"/>
      <c r="Y22" s="12"/>
      <c r="Z22" s="12"/>
    </row>
    <row r="23" ht="22.5" customHeight="1">
      <c r="A23" s="15">
        <v>46099.680026354166</v>
      </c>
      <c r="B23" s="16">
        <v>-431716.0</v>
      </c>
      <c r="C23" s="13">
        <v>-17.0</v>
      </c>
      <c r="D23" s="17">
        <f t="shared" si="1"/>
        <v>4.1</v>
      </c>
      <c r="E23" s="16">
        <v>-11416.26</v>
      </c>
      <c r="F23" s="16">
        <v>-9.5</v>
      </c>
      <c r="G23" s="14">
        <f t="shared" si="2"/>
        <v>0.2</v>
      </c>
      <c r="H23" s="16">
        <v>602.5</v>
      </c>
      <c r="I23" s="16">
        <v>2.1</v>
      </c>
      <c r="J23" s="14">
        <f t="shared" si="3"/>
        <v>3.1</v>
      </c>
      <c r="K23" s="16">
        <v>-442529.76</v>
      </c>
      <c r="L23" s="16">
        <v>-15.8</v>
      </c>
      <c r="M23" s="17">
        <f t="shared" si="4"/>
        <v>3.9</v>
      </c>
      <c r="N23" s="16">
        <v>23777.8</v>
      </c>
      <c r="O23" s="16">
        <v>-8.4</v>
      </c>
      <c r="P23" s="17">
        <f t="shared" si="5"/>
        <v>0.7</v>
      </c>
      <c r="Q23" s="16">
        <v>15983.45</v>
      </c>
      <c r="R23" s="16">
        <v>-1.3</v>
      </c>
      <c r="S23" s="17">
        <f t="shared" si="6"/>
        <v>2.1</v>
      </c>
      <c r="T23" s="16">
        <v>40.1</v>
      </c>
      <c r="U23" s="16">
        <v>-11.8</v>
      </c>
      <c r="V23" s="17">
        <f t="shared" si="7"/>
        <v>1.4</v>
      </c>
      <c r="W23" s="12"/>
      <c r="X23" s="12"/>
      <c r="Y23" s="12"/>
      <c r="Z23" s="12"/>
    </row>
    <row r="24" ht="22.5" customHeight="1">
      <c r="A24" s="15">
        <v>46100.680075613425</v>
      </c>
      <c r="B24" s="16">
        <v>-482686.0</v>
      </c>
      <c r="C24" s="13">
        <v>-19.1</v>
      </c>
      <c r="D24" s="17">
        <f t="shared" si="1"/>
        <v>-2.1</v>
      </c>
      <c r="E24" s="16">
        <v>-16266.84</v>
      </c>
      <c r="F24" s="16">
        <v>-13.5</v>
      </c>
      <c r="G24" s="14">
        <f t="shared" si="2"/>
        <v>-4</v>
      </c>
      <c r="H24" s="16">
        <v>367.0</v>
      </c>
      <c r="I24" s="16">
        <v>1.3</v>
      </c>
      <c r="J24" s="14">
        <f t="shared" si="3"/>
        <v>-0.8</v>
      </c>
      <c r="K24" s="16">
        <v>-498585.83999999997</v>
      </c>
      <c r="L24" s="16">
        <v>-18.0</v>
      </c>
      <c r="M24" s="17">
        <f t="shared" si="4"/>
        <v>-2.2</v>
      </c>
      <c r="N24" s="16">
        <v>23002.15</v>
      </c>
      <c r="O24" s="16">
        <v>-11.4</v>
      </c>
      <c r="P24" s="17">
        <f t="shared" si="5"/>
        <v>-3</v>
      </c>
      <c r="Q24" s="16">
        <v>15458.0</v>
      </c>
      <c r="R24" s="16">
        <v>-4.6</v>
      </c>
      <c r="S24" s="17">
        <f t="shared" si="6"/>
        <v>-3.3</v>
      </c>
      <c r="T24" s="16">
        <v>39.34</v>
      </c>
      <c r="U24" s="16">
        <v>-13.4</v>
      </c>
      <c r="V24" s="17">
        <f t="shared" si="7"/>
        <v>-1.6</v>
      </c>
      <c r="W24" s="12"/>
      <c r="X24" s="12"/>
      <c r="Y24" s="12"/>
      <c r="Z24" s="12"/>
    </row>
    <row r="25" ht="22.5" customHeight="1">
      <c r="A25" s="15">
        <v>46101.6800469213</v>
      </c>
      <c r="B25" s="16">
        <v>-466271.0</v>
      </c>
      <c r="C25" s="13">
        <v>-18.4</v>
      </c>
      <c r="D25" s="17">
        <f t="shared" si="1"/>
        <v>0.7</v>
      </c>
      <c r="E25" s="16">
        <v>-20570.45</v>
      </c>
      <c r="F25" s="16">
        <v>-17.1</v>
      </c>
      <c r="G25" s="14">
        <f t="shared" si="2"/>
        <v>-3.6</v>
      </c>
      <c r="H25" s="16">
        <v>-998.0</v>
      </c>
      <c r="I25" s="16">
        <v>-3.5</v>
      </c>
      <c r="J25" s="14">
        <f t="shared" si="3"/>
        <v>-4.8</v>
      </c>
      <c r="K25" s="16">
        <v>-487839.44999999995</v>
      </c>
      <c r="L25" s="16">
        <v>-17.6</v>
      </c>
      <c r="M25" s="17">
        <f t="shared" si="4"/>
        <v>0.4</v>
      </c>
      <c r="N25" s="16">
        <v>23114.5</v>
      </c>
      <c r="O25" s="16">
        <v>-10.9</v>
      </c>
      <c r="P25" s="17">
        <f t="shared" si="5"/>
        <v>0.5</v>
      </c>
      <c r="Q25" s="16">
        <v>15572.6</v>
      </c>
      <c r="R25" s="16">
        <v>-3.9</v>
      </c>
      <c r="S25" s="17">
        <f t="shared" si="6"/>
        <v>0.7</v>
      </c>
      <c r="T25" s="16">
        <v>39.05</v>
      </c>
      <c r="U25" s="16">
        <v>-14.1</v>
      </c>
      <c r="V25" s="17">
        <f t="shared" si="7"/>
        <v>-0.7</v>
      </c>
      <c r="W25" s="12"/>
      <c r="X25" s="12"/>
      <c r="Y25" s="12"/>
      <c r="Z25" s="12"/>
    </row>
    <row r="26" ht="22.5" customHeight="1">
      <c r="A26" s="15">
        <v>46104.680051006944</v>
      </c>
      <c r="B26" s="16">
        <v>-464034.0</v>
      </c>
      <c r="C26" s="16">
        <v>-19.8</v>
      </c>
      <c r="D26" s="17">
        <f t="shared" si="1"/>
        <v>-1.4</v>
      </c>
      <c r="E26" s="16">
        <v>-24518.33</v>
      </c>
      <c r="F26" s="16">
        <v>-20.4</v>
      </c>
      <c r="G26" s="14">
        <f t="shared" si="2"/>
        <v>-3.3</v>
      </c>
      <c r="H26" s="16">
        <v>-78.5</v>
      </c>
      <c r="I26" s="16">
        <v>-0.3</v>
      </c>
      <c r="J26" s="14">
        <f t="shared" si="3"/>
        <v>3.2</v>
      </c>
      <c r="K26" s="16">
        <v>-488630.83</v>
      </c>
      <c r="L26" s="16">
        <v>-19.6</v>
      </c>
      <c r="M26" s="17">
        <f t="shared" si="4"/>
        <v>-2</v>
      </c>
      <c r="N26" s="16">
        <v>22512.65</v>
      </c>
      <c r="O26" s="16">
        <v>-13.2</v>
      </c>
      <c r="P26" s="17">
        <f t="shared" si="5"/>
        <v>-2.3</v>
      </c>
      <c r="Q26" s="16">
        <v>15000.5</v>
      </c>
      <c r="R26" s="16">
        <v>-7.4</v>
      </c>
      <c r="S26" s="17">
        <f t="shared" si="6"/>
        <v>-3.5</v>
      </c>
      <c r="T26" s="16">
        <v>37.6</v>
      </c>
      <c r="U26" s="16">
        <v>-17.3</v>
      </c>
      <c r="V26" s="17">
        <f t="shared" si="7"/>
        <v>-3.2</v>
      </c>
      <c r="W26" s="12"/>
      <c r="X26" s="12"/>
      <c r="Y26" s="12"/>
      <c r="Z26" s="12"/>
    </row>
    <row r="27" ht="22.5" customHeight="1">
      <c r="A27" s="15">
        <v>46105.68003287037</v>
      </c>
      <c r="B27" s="16">
        <v>-374076.0</v>
      </c>
      <c r="C27" s="16">
        <v>-16.0</v>
      </c>
      <c r="D27" s="17">
        <f t="shared" si="1"/>
        <v>3.8</v>
      </c>
      <c r="E27" s="16">
        <v>-20103.51</v>
      </c>
      <c r="F27" s="16">
        <v>-16.7</v>
      </c>
      <c r="G27" s="14">
        <f t="shared" si="2"/>
        <v>3.7</v>
      </c>
      <c r="H27" s="16">
        <v>1401.0</v>
      </c>
      <c r="I27" s="16">
        <v>4.8</v>
      </c>
      <c r="J27" s="14">
        <f t="shared" si="3"/>
        <v>5.1</v>
      </c>
      <c r="K27" s="16">
        <v>-392778.51</v>
      </c>
      <c r="L27" s="16">
        <v>-15.8</v>
      </c>
      <c r="M27" s="17">
        <f t="shared" si="4"/>
        <v>3.8</v>
      </c>
      <c r="N27" s="16">
        <v>22912.4</v>
      </c>
      <c r="O27" s="16">
        <v>-11.7</v>
      </c>
      <c r="P27" s="17">
        <f t="shared" si="5"/>
        <v>1.5</v>
      </c>
      <c r="Q27" s="16">
        <v>15411.75</v>
      </c>
      <c r="R27" s="16">
        <v>-4.9</v>
      </c>
      <c r="S27" s="17">
        <f t="shared" si="6"/>
        <v>2.5</v>
      </c>
      <c r="T27" s="16">
        <v>38.58</v>
      </c>
      <c r="U27" s="16">
        <v>-15.1</v>
      </c>
      <c r="V27" s="17">
        <f t="shared" si="7"/>
        <v>2.2</v>
      </c>
      <c r="W27" s="12"/>
      <c r="X27" s="12"/>
      <c r="Y27" s="12"/>
      <c r="Z27" s="12"/>
    </row>
    <row r="28" ht="22.5" customHeight="1">
      <c r="A28" s="15">
        <v>46106.68003368056</v>
      </c>
      <c r="B28" s="16">
        <v>-345364.0</v>
      </c>
      <c r="C28" s="16">
        <v>-14.7</v>
      </c>
      <c r="D28" s="17">
        <f t="shared" si="1"/>
        <v>1.3</v>
      </c>
      <c r="E28" s="16">
        <v>-19463.36</v>
      </c>
      <c r="F28" s="16">
        <v>-16.2</v>
      </c>
      <c r="G28" s="14">
        <f t="shared" si="2"/>
        <v>0.5</v>
      </c>
      <c r="H28" s="16">
        <v>1782.0</v>
      </c>
      <c r="I28" s="16">
        <v>6.2</v>
      </c>
      <c r="J28" s="14">
        <f t="shared" si="3"/>
        <v>1.4</v>
      </c>
      <c r="K28" s="16">
        <v>-363045.36</v>
      </c>
      <c r="L28" s="16">
        <v>-14.6</v>
      </c>
      <c r="M28" s="17">
        <f t="shared" si="4"/>
        <v>1.2</v>
      </c>
      <c r="N28" s="16">
        <v>23306.45</v>
      </c>
      <c r="O28" s="16">
        <v>-10.2</v>
      </c>
      <c r="P28" s="17">
        <f t="shared" si="5"/>
        <v>1.5</v>
      </c>
      <c r="Q28" s="16">
        <v>15735.9</v>
      </c>
      <c r="R28" s="16">
        <v>-2.9</v>
      </c>
      <c r="S28" s="17">
        <f t="shared" si="6"/>
        <v>2</v>
      </c>
      <c r="T28" s="16">
        <v>39.32</v>
      </c>
      <c r="U28" s="16">
        <v>-13.5</v>
      </c>
      <c r="V28" s="17">
        <f t="shared" si="7"/>
        <v>1.6</v>
      </c>
      <c r="W28" s="12"/>
      <c r="X28" s="12"/>
      <c r="Y28" s="12"/>
      <c r="Z28" s="12"/>
    </row>
    <row r="29" ht="22.5" customHeight="1">
      <c r="A29" s="15">
        <v>46107.680076805555</v>
      </c>
      <c r="B29" s="16">
        <v>-345364.0</v>
      </c>
      <c r="C29" s="16">
        <v>-14.7</v>
      </c>
      <c r="D29" s="17">
        <f t="shared" si="1"/>
        <v>0</v>
      </c>
      <c r="E29" s="16">
        <v>-15637.49</v>
      </c>
      <c r="F29" s="16">
        <v>-13.0</v>
      </c>
      <c r="G29" s="14">
        <f t="shared" si="2"/>
        <v>3.2</v>
      </c>
      <c r="H29" s="16">
        <v>1782.0</v>
      </c>
      <c r="I29" s="16">
        <v>6.2</v>
      </c>
      <c r="J29" s="14">
        <f t="shared" si="3"/>
        <v>0</v>
      </c>
      <c r="K29" s="16">
        <v>-359219.49</v>
      </c>
      <c r="L29" s="16">
        <v>-14.4</v>
      </c>
      <c r="M29" s="17">
        <f t="shared" si="4"/>
        <v>0.2</v>
      </c>
      <c r="N29" s="16">
        <v>23306.45</v>
      </c>
      <c r="O29" s="16">
        <v>-10.2</v>
      </c>
      <c r="P29" s="17">
        <f t="shared" si="5"/>
        <v>0</v>
      </c>
      <c r="Q29" s="16">
        <v>15735.9</v>
      </c>
      <c r="R29" s="16">
        <v>-2.9</v>
      </c>
      <c r="S29" s="17">
        <f t="shared" si="6"/>
        <v>0</v>
      </c>
      <c r="T29" s="16">
        <v>39.32</v>
      </c>
      <c r="U29" s="16">
        <v>-13.5</v>
      </c>
      <c r="V29" s="17">
        <f t="shared" si="7"/>
        <v>0</v>
      </c>
      <c r="W29" s="12"/>
      <c r="X29" s="12"/>
      <c r="Y29" s="12"/>
      <c r="Z29" s="12"/>
    </row>
    <row r="30" ht="22.5" customHeight="1">
      <c r="A30" s="15">
        <v>46108.68008489584</v>
      </c>
      <c r="B30" s="16">
        <v>-390039.0</v>
      </c>
      <c r="C30" s="16">
        <v>-16.6</v>
      </c>
      <c r="D30" s="17">
        <f t="shared" si="1"/>
        <v>-1.9</v>
      </c>
      <c r="E30" s="16">
        <v>-21910.68</v>
      </c>
      <c r="F30" s="16">
        <v>-18.2</v>
      </c>
      <c r="G30" s="14">
        <f t="shared" si="2"/>
        <v>-5.2</v>
      </c>
      <c r="H30" s="16">
        <v>2187.0</v>
      </c>
      <c r="I30" s="16">
        <v>7.6</v>
      </c>
      <c r="J30" s="14">
        <f t="shared" si="3"/>
        <v>1.4</v>
      </c>
      <c r="K30" s="16">
        <v>-409762.68</v>
      </c>
      <c r="L30" s="16">
        <v>-16.4</v>
      </c>
      <c r="M30" s="17">
        <f t="shared" si="4"/>
        <v>-2</v>
      </c>
      <c r="N30" s="16">
        <v>22819.6</v>
      </c>
      <c r="O30" s="16">
        <v>-12.1</v>
      </c>
      <c r="P30" s="17">
        <f t="shared" si="5"/>
        <v>-1.9</v>
      </c>
      <c r="Q30" s="16">
        <v>15396.1</v>
      </c>
      <c r="R30" s="16">
        <v>-5.0</v>
      </c>
      <c r="S30" s="17">
        <f t="shared" si="6"/>
        <v>-2.1</v>
      </c>
      <c r="T30" s="16">
        <v>38.5</v>
      </c>
      <c r="U30" s="16">
        <v>-15.3</v>
      </c>
      <c r="V30" s="17">
        <f t="shared" si="7"/>
        <v>-1.8</v>
      </c>
      <c r="W30" s="12"/>
      <c r="X30" s="12"/>
      <c r="Y30" s="12"/>
      <c r="Z30" s="12"/>
    </row>
    <row r="31" ht="22.5" customHeight="1">
      <c r="A31" s="15">
        <v>46111.68002917824</v>
      </c>
      <c r="B31" s="16">
        <v>-441334.0</v>
      </c>
      <c r="C31" s="16">
        <v>-18.8</v>
      </c>
      <c r="D31" s="17">
        <f t="shared" si="1"/>
        <v>-2.2</v>
      </c>
      <c r="E31" s="16">
        <v>-20202.77</v>
      </c>
      <c r="F31" s="16">
        <v>-16.8</v>
      </c>
      <c r="G31" s="14">
        <f t="shared" si="2"/>
        <v>1.4</v>
      </c>
      <c r="H31" s="16">
        <v>1345.0</v>
      </c>
      <c r="I31" s="16">
        <v>4.7</v>
      </c>
      <c r="J31" s="14">
        <f t="shared" si="3"/>
        <v>-2.9</v>
      </c>
      <c r="K31" s="16">
        <v>-460191.77</v>
      </c>
      <c r="L31" s="16">
        <v>-18.5</v>
      </c>
      <c r="M31" s="17">
        <f t="shared" si="4"/>
        <v>-2.1</v>
      </c>
      <c r="N31" s="16">
        <v>22331.4</v>
      </c>
      <c r="O31" s="16">
        <v>-13.9</v>
      </c>
      <c r="P31" s="17">
        <f t="shared" si="5"/>
        <v>-1.8</v>
      </c>
      <c r="Q31" s="16">
        <v>14983.35</v>
      </c>
      <c r="R31" s="16">
        <v>-7.5</v>
      </c>
      <c r="S31" s="17">
        <f t="shared" si="6"/>
        <v>-2.5</v>
      </c>
      <c r="T31" s="16">
        <v>37.75</v>
      </c>
      <c r="U31" s="16">
        <v>-16.9</v>
      </c>
      <c r="V31" s="17">
        <f t="shared" si="7"/>
        <v>-1.6</v>
      </c>
      <c r="W31" s="12"/>
      <c r="X31" s="12"/>
      <c r="Y31" s="12"/>
      <c r="Z31" s="12"/>
    </row>
    <row r="32" ht="22.5" customHeight="1">
      <c r="A32" s="15">
        <v>46112.6800272338</v>
      </c>
      <c r="B32" s="16">
        <v>-441334.0</v>
      </c>
      <c r="C32" s="16">
        <v>-18.8</v>
      </c>
      <c r="D32" s="17">
        <f t="shared" si="1"/>
        <v>0</v>
      </c>
      <c r="E32" s="16">
        <v>-22951.9</v>
      </c>
      <c r="F32" s="16">
        <v>-19.1</v>
      </c>
      <c r="G32" s="14">
        <f t="shared" si="2"/>
        <v>-2.3</v>
      </c>
      <c r="H32" s="16">
        <v>1345.0</v>
      </c>
      <c r="I32" s="16">
        <v>4.7</v>
      </c>
      <c r="J32" s="14">
        <f t="shared" si="3"/>
        <v>0</v>
      </c>
      <c r="K32" s="16">
        <v>-462940.9</v>
      </c>
      <c r="L32" s="16">
        <v>-18.6</v>
      </c>
      <c r="M32" s="17">
        <f t="shared" si="4"/>
        <v>-0.1</v>
      </c>
      <c r="N32" s="16">
        <v>22331.4</v>
      </c>
      <c r="O32" s="16">
        <v>-13.9</v>
      </c>
      <c r="P32" s="17">
        <f t="shared" si="5"/>
        <v>0</v>
      </c>
      <c r="Q32" s="16">
        <v>14983.35</v>
      </c>
      <c r="R32" s="16">
        <v>-7.5</v>
      </c>
      <c r="S32" s="17">
        <f t="shared" si="6"/>
        <v>0</v>
      </c>
      <c r="T32" s="16">
        <v>37.75</v>
      </c>
      <c r="U32" s="16">
        <v>-16.9</v>
      </c>
      <c r="V32" s="17">
        <f t="shared" si="7"/>
        <v>0</v>
      </c>
      <c r="W32" s="12"/>
      <c r="X32" s="12"/>
      <c r="Y32" s="12"/>
      <c r="Z32" s="12"/>
    </row>
    <row r="33" ht="22.5" customHeight="1">
      <c r="A33" s="15">
        <v>46113.68003017361</v>
      </c>
      <c r="B33" s="16">
        <v>-335355.0</v>
      </c>
      <c r="C33" s="16">
        <v>-14.3</v>
      </c>
      <c r="D33" s="17">
        <f t="shared" si="1"/>
        <v>4.5</v>
      </c>
      <c r="E33" s="16">
        <v>-14908.47</v>
      </c>
      <c r="F33" s="16">
        <v>-12.4</v>
      </c>
      <c r="G33" s="14">
        <f t="shared" si="2"/>
        <v>6.7</v>
      </c>
      <c r="H33" s="16">
        <v>1634.5</v>
      </c>
      <c r="I33" s="16">
        <v>5.7</v>
      </c>
      <c r="J33" s="14">
        <f t="shared" si="3"/>
        <v>1</v>
      </c>
      <c r="K33" s="16">
        <v>-348628.97</v>
      </c>
      <c r="L33" s="16">
        <v>-14.0</v>
      </c>
      <c r="M33" s="17">
        <f t="shared" si="4"/>
        <v>4.6</v>
      </c>
      <c r="N33" s="16">
        <v>22679.4</v>
      </c>
      <c r="O33" s="16">
        <v>-12.6</v>
      </c>
      <c r="P33" s="17">
        <f t="shared" si="5"/>
        <v>1.3</v>
      </c>
      <c r="Q33" s="16">
        <v>15295.45</v>
      </c>
      <c r="R33" s="16">
        <v>-5.6</v>
      </c>
      <c r="S33" s="17">
        <f t="shared" si="6"/>
        <v>1.9</v>
      </c>
      <c r="T33" s="16">
        <v>39.01</v>
      </c>
      <c r="U33" s="16">
        <v>-14.2</v>
      </c>
      <c r="V33" s="17">
        <f t="shared" si="7"/>
        <v>2.7</v>
      </c>
      <c r="W33" s="12"/>
      <c r="X33" s="12"/>
      <c r="Y33" s="12"/>
      <c r="Z33" s="12"/>
    </row>
    <row r="34">
      <c r="A34" s="19">
        <v>46114.68002907408</v>
      </c>
      <c r="B34" s="20">
        <v>-322259.0</v>
      </c>
      <c r="C34" s="21">
        <v>-13.8</v>
      </c>
      <c r="D34" s="21">
        <f t="shared" si="1"/>
        <v>0.5</v>
      </c>
      <c r="E34" s="21">
        <v>-12369.39</v>
      </c>
      <c r="F34" s="21">
        <v>-10.3</v>
      </c>
      <c r="G34" s="21">
        <f t="shared" si="2"/>
        <v>2.1</v>
      </c>
      <c r="H34" s="22">
        <v>1634.5</v>
      </c>
      <c r="I34" s="22">
        <v>5.7</v>
      </c>
      <c r="J34" s="21">
        <f t="shared" si="3"/>
        <v>0</v>
      </c>
      <c r="K34" s="22">
        <v>-348628.97</v>
      </c>
      <c r="L34" s="22">
        <v>-14.0</v>
      </c>
      <c r="M34" s="21">
        <f t="shared" si="4"/>
        <v>0</v>
      </c>
      <c r="N34" s="20">
        <v>22713.1</v>
      </c>
      <c r="O34" s="20">
        <v>-12.5</v>
      </c>
      <c r="P34" s="23">
        <f t="shared" si="5"/>
        <v>0.1</v>
      </c>
      <c r="Q34" s="20">
        <v>15270.5</v>
      </c>
      <c r="R34" s="20">
        <v>-5.7</v>
      </c>
      <c r="S34" s="23">
        <f t="shared" si="6"/>
        <v>-0.1</v>
      </c>
      <c r="T34" s="20">
        <v>38.99</v>
      </c>
      <c r="U34" s="20">
        <v>-14.2</v>
      </c>
      <c r="V34" s="23">
        <f t="shared" si="7"/>
        <v>0</v>
      </c>
      <c r="W34" s="12"/>
      <c r="X34" s="12"/>
      <c r="Y34" s="12"/>
      <c r="Z34" s="12"/>
    </row>
    <row r="35">
      <c r="A35" s="19">
        <v>46115.68003200232</v>
      </c>
      <c r="B35" s="20">
        <v>-322259.0</v>
      </c>
      <c r="C35" s="21">
        <v>-13.8</v>
      </c>
      <c r="D35" s="21">
        <f t="shared" si="1"/>
        <v>0</v>
      </c>
      <c r="E35" s="21">
        <v>-14867.8</v>
      </c>
      <c r="F35" s="21">
        <v>-12.4</v>
      </c>
      <c r="G35" s="21">
        <f t="shared" si="2"/>
        <v>-2.1</v>
      </c>
      <c r="H35" s="21">
        <v>3895.5</v>
      </c>
      <c r="I35" s="21">
        <v>6.7</v>
      </c>
      <c r="J35" s="21">
        <f t="shared" si="3"/>
        <v>1</v>
      </c>
      <c r="K35" s="21">
        <v>-333231.3</v>
      </c>
      <c r="L35" s="21">
        <v>-13.2</v>
      </c>
      <c r="M35" s="21">
        <f t="shared" si="4"/>
        <v>0.8</v>
      </c>
      <c r="N35" s="20">
        <v>22713.1</v>
      </c>
      <c r="O35" s="20">
        <v>-12.5</v>
      </c>
      <c r="P35" s="23">
        <f t="shared" si="5"/>
        <v>0</v>
      </c>
      <c r="Q35" s="20">
        <v>15270.5</v>
      </c>
      <c r="R35" s="20">
        <v>-5.7</v>
      </c>
      <c r="S35" s="23">
        <f t="shared" si="6"/>
        <v>0</v>
      </c>
      <c r="T35" s="20">
        <v>38.99</v>
      </c>
      <c r="U35" s="20">
        <v>-14.2</v>
      </c>
      <c r="V35" s="23">
        <f t="shared" si="7"/>
        <v>0</v>
      </c>
      <c r="W35" s="12"/>
      <c r="X35" s="12"/>
      <c r="Y35" s="12"/>
      <c r="Z35" s="12"/>
    </row>
    <row r="36">
      <c r="A36" s="19">
        <v>46118.6800280787</v>
      </c>
      <c r="B36" s="20">
        <v>-321525.0</v>
      </c>
      <c r="C36" s="21">
        <v>-14.7</v>
      </c>
      <c r="D36" s="21">
        <f t="shared" si="1"/>
        <v>-0.9</v>
      </c>
      <c r="E36" s="21">
        <v>-14387.46</v>
      </c>
      <c r="F36" s="21">
        <v>-12.0</v>
      </c>
      <c r="G36" s="21">
        <f t="shared" si="2"/>
        <v>0.4</v>
      </c>
      <c r="H36" s="21">
        <v>5979.0</v>
      </c>
      <c r="I36" s="21">
        <v>8.3</v>
      </c>
      <c r="J36" s="21">
        <f t="shared" si="3"/>
        <v>1.6</v>
      </c>
      <c r="K36" s="21">
        <v>-329933.46</v>
      </c>
      <c r="L36" s="21">
        <v>-13.9</v>
      </c>
      <c r="M36" s="21">
        <f t="shared" si="4"/>
        <v>-0.7</v>
      </c>
      <c r="N36" s="20">
        <v>22968.25</v>
      </c>
      <c r="O36" s="20">
        <v>-11.5</v>
      </c>
      <c r="P36" s="23">
        <f t="shared" si="5"/>
        <v>1</v>
      </c>
      <c r="Q36" s="20">
        <v>15507.2</v>
      </c>
      <c r="R36" s="20">
        <v>-4.3</v>
      </c>
      <c r="S36" s="23">
        <f t="shared" si="6"/>
        <v>1.4</v>
      </c>
      <c r="T36" s="20">
        <v>39.62</v>
      </c>
      <c r="U36" s="20">
        <v>-12.8</v>
      </c>
      <c r="V36" s="23">
        <f t="shared" si="7"/>
        <v>1.4</v>
      </c>
      <c r="W36" s="12"/>
      <c r="X36" s="12"/>
      <c r="Y36" s="12"/>
      <c r="Z36" s="12"/>
    </row>
    <row r="37">
      <c r="A37" s="19">
        <v>46119.68002954861</v>
      </c>
      <c r="B37" s="20">
        <v>-358714.0</v>
      </c>
      <c r="C37" s="21">
        <v>-16.4</v>
      </c>
      <c r="D37" s="21">
        <f t="shared" si="1"/>
        <v>-1.7</v>
      </c>
      <c r="E37" s="21">
        <v>-14684.18</v>
      </c>
      <c r="F37" s="21">
        <v>-12.2</v>
      </c>
      <c r="G37" s="21">
        <f t="shared" si="2"/>
        <v>-0.2</v>
      </c>
      <c r="H37" s="21">
        <v>5788.0</v>
      </c>
      <c r="I37" s="21">
        <v>8.0</v>
      </c>
      <c r="J37" s="21">
        <f t="shared" si="3"/>
        <v>-0.3</v>
      </c>
      <c r="K37" s="21">
        <v>-367610.18</v>
      </c>
      <c r="L37" s="21">
        <v>-15.5</v>
      </c>
      <c r="M37" s="21">
        <f t="shared" si="4"/>
        <v>-1.6</v>
      </c>
      <c r="N37" s="20">
        <v>23123.65</v>
      </c>
      <c r="O37" s="20">
        <v>-10.9</v>
      </c>
      <c r="P37" s="23">
        <f t="shared" si="5"/>
        <v>0.6</v>
      </c>
      <c r="Q37" s="20">
        <v>15573.8</v>
      </c>
      <c r="R37" s="20">
        <v>-3.9</v>
      </c>
      <c r="S37" s="23">
        <f t="shared" si="6"/>
        <v>0.4</v>
      </c>
      <c r="T37" s="20">
        <v>39.63</v>
      </c>
      <c r="U37" s="20">
        <v>-12.8</v>
      </c>
      <c r="V37" s="23">
        <f t="shared" si="7"/>
        <v>0</v>
      </c>
      <c r="W37" s="12"/>
      <c r="X37" s="12"/>
      <c r="Y37" s="12"/>
      <c r="Z37" s="12"/>
    </row>
    <row r="38">
      <c r="A38" s="19">
        <v>46120.68002907408</v>
      </c>
      <c r="B38" s="20">
        <v>-298853.0</v>
      </c>
      <c r="C38" s="21">
        <v>-13.7</v>
      </c>
      <c r="D38" s="21">
        <f t="shared" si="1"/>
        <v>2.7</v>
      </c>
      <c r="E38" s="21">
        <v>-16267.43</v>
      </c>
      <c r="F38" s="21">
        <v>-13.5</v>
      </c>
      <c r="G38" s="21">
        <f t="shared" si="2"/>
        <v>-1.3</v>
      </c>
      <c r="H38" s="21">
        <v>10578.0</v>
      </c>
      <c r="I38" s="21">
        <v>14.7</v>
      </c>
      <c r="J38" s="21">
        <f t="shared" si="3"/>
        <v>6.7</v>
      </c>
      <c r="K38" s="21">
        <v>-304542.43</v>
      </c>
      <c r="L38" s="21">
        <v>-12.8</v>
      </c>
      <c r="M38" s="21">
        <f t="shared" si="4"/>
        <v>2.7</v>
      </c>
      <c r="N38" s="20">
        <v>23997.35</v>
      </c>
      <c r="O38" s="20">
        <v>-7.5</v>
      </c>
      <c r="P38" s="23">
        <f t="shared" si="5"/>
        <v>3.4</v>
      </c>
      <c r="Q38" s="20">
        <v>16210.35</v>
      </c>
      <c r="R38" s="20">
        <v>0.1</v>
      </c>
      <c r="S38" s="23">
        <f t="shared" si="6"/>
        <v>4</v>
      </c>
      <c r="T38" s="20">
        <v>41.19</v>
      </c>
      <c r="U38" s="20">
        <v>-9.4</v>
      </c>
      <c r="V38" s="23">
        <f t="shared" si="7"/>
        <v>3.4</v>
      </c>
      <c r="W38" s="12"/>
      <c r="X38" s="12"/>
      <c r="Y38" s="12"/>
      <c r="Z38" s="12"/>
    </row>
    <row r="39">
      <c r="A39" s="19">
        <v>46121.680030752315</v>
      </c>
      <c r="B39" s="20">
        <v>-316482.0</v>
      </c>
      <c r="C39" s="21">
        <v>-14.5</v>
      </c>
      <c r="D39" s="21">
        <f t="shared" si="1"/>
        <v>-0.8</v>
      </c>
      <c r="E39" s="21">
        <v>-11495.08</v>
      </c>
      <c r="F39" s="21">
        <v>-9.6</v>
      </c>
      <c r="G39" s="21">
        <f t="shared" si="2"/>
        <v>3.9</v>
      </c>
      <c r="H39" s="21">
        <v>11009.0</v>
      </c>
      <c r="I39" s="21">
        <v>15.3</v>
      </c>
      <c r="J39" s="21">
        <f t="shared" si="3"/>
        <v>0.6</v>
      </c>
      <c r="K39" s="21">
        <v>-316968.08</v>
      </c>
      <c r="L39" s="21">
        <v>-13.3</v>
      </c>
      <c r="M39" s="21">
        <f t="shared" si="4"/>
        <v>-0.5</v>
      </c>
      <c r="N39" s="20">
        <v>23775.1</v>
      </c>
      <c r="O39" s="20">
        <v>-8.4</v>
      </c>
      <c r="P39" s="23">
        <f t="shared" si="5"/>
        <v>-0.9</v>
      </c>
      <c r="Q39" s="20">
        <v>16246.35</v>
      </c>
      <c r="R39" s="20">
        <v>0.3</v>
      </c>
      <c r="S39" s="23">
        <f t="shared" si="6"/>
        <v>0.2</v>
      </c>
      <c r="T39" s="20">
        <v>41.31</v>
      </c>
      <c r="U39" s="20">
        <v>-9.1</v>
      </c>
      <c r="V39" s="23">
        <f t="shared" si="7"/>
        <v>0.3</v>
      </c>
      <c r="W39" s="12"/>
      <c r="X39" s="12"/>
      <c r="Y39" s="12"/>
      <c r="Z39" s="12"/>
    </row>
    <row r="40">
      <c r="A40" s="19">
        <v>46125.68002693287</v>
      </c>
      <c r="B40" s="20">
        <v>-275970.0</v>
      </c>
      <c r="C40" s="21">
        <v>-12.6</v>
      </c>
      <c r="D40" s="21">
        <f t="shared" si="1"/>
        <v>1.9</v>
      </c>
      <c r="E40" s="21">
        <v>-8967.44</v>
      </c>
      <c r="F40" s="21">
        <v>-7.5</v>
      </c>
      <c r="G40" s="21">
        <f t="shared" si="2"/>
        <v>2.1</v>
      </c>
      <c r="H40" s="21">
        <v>10202.5</v>
      </c>
      <c r="I40" s="21">
        <v>14.2</v>
      </c>
      <c r="J40" s="21">
        <f t="shared" si="3"/>
        <v>-1.1</v>
      </c>
      <c r="K40" s="21">
        <v>-274734.94</v>
      </c>
      <c r="L40" s="21">
        <v>-11.6</v>
      </c>
      <c r="M40" s="21">
        <f t="shared" si="4"/>
        <v>1.7</v>
      </c>
      <c r="N40" s="20">
        <v>23842.65</v>
      </c>
      <c r="O40" s="20">
        <v>-8.1</v>
      </c>
      <c r="P40" s="23">
        <f t="shared" si="5"/>
        <v>0.3</v>
      </c>
      <c r="Q40" s="20">
        <v>16326.3</v>
      </c>
      <c r="R40" s="20">
        <v>0.8</v>
      </c>
      <c r="S40" s="23">
        <f t="shared" si="6"/>
        <v>0.5</v>
      </c>
      <c r="T40" s="20">
        <v>41.65</v>
      </c>
      <c r="U40" s="20">
        <v>-8.3</v>
      </c>
      <c r="V40" s="23">
        <f t="shared" si="7"/>
        <v>0.8</v>
      </c>
      <c r="W40" s="12"/>
      <c r="X40" s="12"/>
      <c r="Y40" s="12"/>
      <c r="Z40" s="12"/>
    </row>
    <row r="41">
      <c r="A41" s="19">
        <v>46126.6800221875</v>
      </c>
      <c r="B41" s="20">
        <v>-275970.0</v>
      </c>
      <c r="C41" s="21">
        <v>-12.6</v>
      </c>
      <c r="D41" s="21">
        <f t="shared" si="1"/>
        <v>0</v>
      </c>
      <c r="E41" s="21">
        <v>-7280.12</v>
      </c>
      <c r="F41" s="21">
        <v>-6.1</v>
      </c>
      <c r="G41" s="21">
        <f t="shared" si="2"/>
        <v>1.4</v>
      </c>
      <c r="H41" s="21">
        <v>10202.5</v>
      </c>
      <c r="I41" s="21">
        <v>14.2</v>
      </c>
      <c r="J41" s="21">
        <f t="shared" si="3"/>
        <v>0</v>
      </c>
      <c r="K41" s="21">
        <v>-273047.62</v>
      </c>
      <c r="L41" s="21">
        <v>-11.5</v>
      </c>
      <c r="M41" s="21">
        <f t="shared" si="4"/>
        <v>0.1</v>
      </c>
      <c r="N41" s="20">
        <v>23842.65</v>
      </c>
      <c r="O41" s="20">
        <v>-8.1</v>
      </c>
      <c r="P41" s="23">
        <f t="shared" si="5"/>
        <v>0</v>
      </c>
      <c r="Q41" s="20">
        <v>16326.3</v>
      </c>
      <c r="R41" s="20">
        <v>0.8</v>
      </c>
      <c r="S41" s="23">
        <f t="shared" si="6"/>
        <v>0</v>
      </c>
      <c r="T41" s="20">
        <v>41.65</v>
      </c>
      <c r="U41" s="20">
        <v>-8.3</v>
      </c>
      <c r="V41" s="23">
        <f t="shared" si="7"/>
        <v>0</v>
      </c>
      <c r="W41" s="12"/>
      <c r="X41" s="12"/>
      <c r="Y41" s="12"/>
      <c r="Z41" s="12"/>
    </row>
    <row r="42">
      <c r="A42" s="19">
        <v>46127.68002517361</v>
      </c>
      <c r="B42" s="20">
        <v>-227749.0</v>
      </c>
      <c r="C42" s="21">
        <v>-10.4</v>
      </c>
      <c r="D42" s="21">
        <f t="shared" si="1"/>
        <v>2.2</v>
      </c>
      <c r="E42" s="21">
        <v>-3879.4</v>
      </c>
      <c r="F42" s="21">
        <v>-3.2</v>
      </c>
      <c r="G42" s="21">
        <f t="shared" si="2"/>
        <v>2.9</v>
      </c>
      <c r="H42" s="21">
        <v>10999.0</v>
      </c>
      <c r="I42" s="21">
        <v>15.3</v>
      </c>
      <c r="J42" s="21">
        <f t="shared" si="3"/>
        <v>1.1</v>
      </c>
      <c r="K42" s="21">
        <v>-220629.4</v>
      </c>
      <c r="L42" s="21">
        <v>-9.3</v>
      </c>
      <c r="M42" s="21">
        <f t="shared" si="4"/>
        <v>2.2</v>
      </c>
      <c r="N42" s="20">
        <v>24231.3</v>
      </c>
      <c r="O42" s="20">
        <v>-6.6</v>
      </c>
      <c r="P42" s="23">
        <f t="shared" si="5"/>
        <v>1.5</v>
      </c>
      <c r="Q42" s="20">
        <v>16698.9</v>
      </c>
      <c r="R42" s="20">
        <v>3.1</v>
      </c>
      <c r="S42" s="23">
        <f t="shared" si="6"/>
        <v>2.3</v>
      </c>
      <c r="T42" s="20">
        <v>42.67</v>
      </c>
      <c r="U42" s="20">
        <v>-6.1</v>
      </c>
      <c r="V42" s="23">
        <f t="shared" si="7"/>
        <v>2.2</v>
      </c>
      <c r="W42" s="12"/>
      <c r="X42" s="12"/>
      <c r="Y42" s="12"/>
      <c r="Z42" s="12"/>
    </row>
    <row r="43">
      <c r="A43" s="19">
        <v>46128.680024016205</v>
      </c>
      <c r="B43" s="20">
        <v>-233803.0</v>
      </c>
      <c r="C43" s="21">
        <v>-10.7</v>
      </c>
      <c r="D43" s="21">
        <f t="shared" si="1"/>
        <v>-0.3</v>
      </c>
      <c r="E43" s="21">
        <v>-3295.55</v>
      </c>
      <c r="F43" s="21">
        <v>-2.7</v>
      </c>
      <c r="G43" s="21">
        <f t="shared" si="2"/>
        <v>0.5</v>
      </c>
      <c r="H43" s="21">
        <v>10870.0</v>
      </c>
      <c r="I43" s="21">
        <v>15.1</v>
      </c>
      <c r="J43" s="21">
        <f t="shared" si="3"/>
        <v>-0.2</v>
      </c>
      <c r="K43" s="21">
        <v>-226228.55</v>
      </c>
      <c r="L43" s="21">
        <v>-9.5</v>
      </c>
      <c r="M43" s="21">
        <f t="shared" si="4"/>
        <v>-0.2</v>
      </c>
      <c r="N43" s="20">
        <v>24196.75</v>
      </c>
      <c r="O43" s="20">
        <v>-6.8</v>
      </c>
      <c r="P43" s="23">
        <f t="shared" si="5"/>
        <v>-0.2</v>
      </c>
      <c r="Q43" s="20">
        <v>16804.8</v>
      </c>
      <c r="R43" s="20">
        <v>3.7</v>
      </c>
      <c r="S43" s="23">
        <f t="shared" si="6"/>
        <v>0.6</v>
      </c>
      <c r="T43" s="20">
        <v>43.18</v>
      </c>
      <c r="U43" s="20">
        <v>-5.0</v>
      </c>
      <c r="V43" s="23">
        <f t="shared" si="7"/>
        <v>1.1</v>
      </c>
      <c r="W43" s="12"/>
      <c r="X43" s="12"/>
      <c r="Y43" s="12"/>
      <c r="Z43" s="12"/>
    </row>
    <row r="44">
      <c r="A44" s="19">
        <v>46129.680023761575</v>
      </c>
      <c r="B44" s="20">
        <v>-189727.0</v>
      </c>
      <c r="C44" s="21">
        <v>-8.7</v>
      </c>
      <c r="D44" s="21">
        <f t="shared" si="1"/>
        <v>2</v>
      </c>
      <c r="E44" s="21">
        <v>-3591.41</v>
      </c>
      <c r="F44" s="21">
        <v>-3.0</v>
      </c>
      <c r="G44" s="21">
        <f t="shared" si="2"/>
        <v>-0.3</v>
      </c>
      <c r="H44" s="21">
        <v>11273.5</v>
      </c>
      <c r="I44" s="21">
        <v>15.6</v>
      </c>
      <c r="J44" s="21">
        <f t="shared" si="3"/>
        <v>0.5</v>
      </c>
      <c r="K44" s="21">
        <v>-182044.91</v>
      </c>
      <c r="L44" s="21">
        <v>-7.7</v>
      </c>
      <c r="M44" s="21">
        <f t="shared" si="4"/>
        <v>1.8</v>
      </c>
      <c r="N44" s="20">
        <v>24353.55</v>
      </c>
      <c r="O44" s="20">
        <v>-6.2</v>
      </c>
      <c r="P44" s="23">
        <f t="shared" si="5"/>
        <v>0.6</v>
      </c>
      <c r="Q44" s="20">
        <v>17014.6</v>
      </c>
      <c r="R44" s="20">
        <v>5.0</v>
      </c>
      <c r="S44" s="23">
        <f t="shared" si="6"/>
        <v>1.3</v>
      </c>
      <c r="T44" s="20">
        <v>43.98</v>
      </c>
      <c r="U44" s="20">
        <v>-3.2</v>
      </c>
      <c r="V44" s="23">
        <f t="shared" si="7"/>
        <v>1.8</v>
      </c>
      <c r="W44" s="12"/>
      <c r="X44" s="12"/>
      <c r="Y44" s="12"/>
      <c r="Z44" s="12"/>
    </row>
    <row r="45">
      <c r="A45" s="19">
        <v>46132.680031296295</v>
      </c>
      <c r="B45" s="20">
        <v>-229859.0</v>
      </c>
      <c r="C45" s="21">
        <v>-10.5</v>
      </c>
      <c r="D45" s="21">
        <f t="shared" si="1"/>
        <v>-1.8</v>
      </c>
      <c r="E45" s="21">
        <v>-1456.28</v>
      </c>
      <c r="F45" s="21">
        <v>-1.2</v>
      </c>
      <c r="G45" s="21">
        <f t="shared" si="2"/>
        <v>1.8</v>
      </c>
      <c r="H45" s="21">
        <v>11348.0</v>
      </c>
      <c r="I45" s="21">
        <v>15.7</v>
      </c>
      <c r="J45" s="21">
        <f t="shared" si="3"/>
        <v>0.1</v>
      </c>
      <c r="K45" s="21">
        <v>-219967.28</v>
      </c>
      <c r="L45" s="21">
        <v>-9.3</v>
      </c>
      <c r="M45" s="21">
        <f t="shared" si="4"/>
        <v>-1.6</v>
      </c>
      <c r="N45" s="20">
        <v>24364.85</v>
      </c>
      <c r="O45" s="20">
        <v>-6.1</v>
      </c>
      <c r="P45" s="23">
        <f t="shared" si="5"/>
        <v>0.1</v>
      </c>
      <c r="Q45" s="20">
        <v>16981.8</v>
      </c>
      <c r="R45" s="20">
        <v>4.8</v>
      </c>
      <c r="S45" s="23">
        <f t="shared" si="6"/>
        <v>-0.2</v>
      </c>
      <c r="T45" s="20">
        <v>43.71</v>
      </c>
      <c r="U45" s="20">
        <v>-3.8</v>
      </c>
      <c r="V45" s="23">
        <f t="shared" si="7"/>
        <v>-0.6</v>
      </c>
      <c r="W45" s="12"/>
      <c r="X45" s="12"/>
      <c r="Y45" s="12"/>
      <c r="Z45" s="12"/>
    </row>
    <row r="46">
      <c r="A46" s="19">
        <v>46133.68002988426</v>
      </c>
      <c r="B46" s="20">
        <v>-177758.0</v>
      </c>
      <c r="C46" s="21">
        <v>-8.1</v>
      </c>
      <c r="D46" s="21">
        <f t="shared" si="1"/>
        <v>2.4</v>
      </c>
      <c r="E46" s="21">
        <v>-1502.16</v>
      </c>
      <c r="F46" s="21">
        <v>-1.2</v>
      </c>
      <c r="G46" s="21">
        <f t="shared" si="2"/>
        <v>0</v>
      </c>
      <c r="H46" s="21">
        <v>11297.5</v>
      </c>
      <c r="I46" s="21">
        <v>19.3</v>
      </c>
      <c r="J46" s="21">
        <f t="shared" si="3"/>
        <v>3.6</v>
      </c>
      <c r="K46" s="21">
        <v>-167962.66</v>
      </c>
      <c r="L46" s="21">
        <v>-7.1</v>
      </c>
      <c r="M46" s="21">
        <f t="shared" si="4"/>
        <v>2.2</v>
      </c>
      <c r="N46" s="20">
        <v>24576.6</v>
      </c>
      <c r="O46" s="20">
        <v>-5.3</v>
      </c>
      <c r="P46" s="23">
        <f t="shared" si="5"/>
        <v>0.8</v>
      </c>
      <c r="Q46" s="20">
        <v>17061.25</v>
      </c>
      <c r="R46" s="20">
        <v>5.3</v>
      </c>
      <c r="S46" s="23">
        <f t="shared" si="6"/>
        <v>0.5</v>
      </c>
      <c r="T46" s="20">
        <v>43.9</v>
      </c>
      <c r="U46" s="20">
        <v>-3.4</v>
      </c>
      <c r="V46" s="23">
        <f t="shared" si="7"/>
        <v>0.4</v>
      </c>
      <c r="W46" s="12"/>
      <c r="X46" s="12"/>
      <c r="Y46" s="12"/>
      <c r="Z46" s="12"/>
    </row>
    <row r="47">
      <c r="A47" s="19">
        <v>46134.68002615741</v>
      </c>
      <c r="B47" s="20">
        <v>-142938.0</v>
      </c>
      <c r="C47" s="21">
        <v>-6.5</v>
      </c>
      <c r="D47" s="21">
        <f t="shared" si="1"/>
        <v>1.6</v>
      </c>
      <c r="E47" s="21">
        <v>-7859.44</v>
      </c>
      <c r="F47" s="21">
        <v>-6.5</v>
      </c>
      <c r="G47" s="21">
        <f t="shared" si="2"/>
        <v>-5.3</v>
      </c>
      <c r="H47" s="21">
        <v>11267.5</v>
      </c>
      <c r="I47" s="21">
        <v>19.2</v>
      </c>
      <c r="J47" s="21">
        <f t="shared" si="3"/>
        <v>-0.1</v>
      </c>
      <c r="K47" s="21">
        <v>-139529.94</v>
      </c>
      <c r="L47" s="21">
        <v>-5.9</v>
      </c>
      <c r="M47" s="21">
        <f t="shared" si="4"/>
        <v>1.2</v>
      </c>
      <c r="N47" s="20">
        <v>24378.1</v>
      </c>
      <c r="O47" s="20">
        <v>-6.1</v>
      </c>
      <c r="P47" s="23">
        <f t="shared" si="5"/>
        <v>-0.8</v>
      </c>
      <c r="Q47" s="20">
        <v>17057.2</v>
      </c>
      <c r="R47" s="20">
        <v>5.3</v>
      </c>
      <c r="S47" s="23">
        <f t="shared" si="6"/>
        <v>0</v>
      </c>
      <c r="T47" s="20">
        <v>44.19</v>
      </c>
      <c r="U47" s="20">
        <v>-2.8</v>
      </c>
      <c r="V47" s="23">
        <f t="shared" si="7"/>
        <v>0.6</v>
      </c>
      <c r="W47" s="12"/>
      <c r="X47" s="12"/>
      <c r="Y47" s="12"/>
      <c r="Z47" s="12"/>
    </row>
    <row r="48">
      <c r="A48" s="19">
        <v>46135.680037858794</v>
      </c>
      <c r="B48" s="20">
        <v>-135068.0</v>
      </c>
      <c r="C48" s="21">
        <v>-6.7</v>
      </c>
      <c r="D48" s="21">
        <f t="shared" si="1"/>
        <v>-0.2</v>
      </c>
      <c r="E48" s="21">
        <v>-2302.11</v>
      </c>
      <c r="F48" s="21">
        <v>-1.9</v>
      </c>
      <c r="G48" s="21">
        <f t="shared" si="2"/>
        <v>4.6</v>
      </c>
      <c r="H48" s="21">
        <v>12136.0</v>
      </c>
      <c r="I48" s="21">
        <v>20.7</v>
      </c>
      <c r="J48" s="21">
        <f t="shared" si="3"/>
        <v>1.5</v>
      </c>
      <c r="K48" s="21">
        <v>-125234.11</v>
      </c>
      <c r="L48" s="21">
        <v>-5.7</v>
      </c>
      <c r="M48" s="21">
        <f t="shared" si="4"/>
        <v>0.2</v>
      </c>
      <c r="N48" s="20">
        <v>24173.05</v>
      </c>
      <c r="O48" s="20">
        <v>-6.8</v>
      </c>
      <c r="P48" s="23">
        <f t="shared" si="5"/>
        <v>-0.7</v>
      </c>
      <c r="Q48" s="20">
        <v>16936.05</v>
      </c>
      <c r="R48" s="20">
        <v>4.5</v>
      </c>
      <c r="S48" s="23">
        <f t="shared" si="6"/>
        <v>-0.8</v>
      </c>
      <c r="T48" s="20">
        <v>43.88</v>
      </c>
      <c r="U48" s="20">
        <v>-3.4</v>
      </c>
      <c r="V48" s="23">
        <f t="shared" si="7"/>
        <v>-0.6</v>
      </c>
      <c r="W48" s="12"/>
      <c r="X48" s="12"/>
      <c r="Y48" s="12"/>
      <c r="Z48" s="12"/>
    </row>
    <row r="49">
      <c r="A49" s="19">
        <v>46136.68002459491</v>
      </c>
      <c r="B49" s="20">
        <v>-151690.0</v>
      </c>
      <c r="C49" s="21">
        <v>-7.5</v>
      </c>
      <c r="D49" s="21">
        <f t="shared" si="1"/>
        <v>-0.8</v>
      </c>
      <c r="E49" s="21">
        <v>-5613.47</v>
      </c>
      <c r="F49" s="21">
        <v>-4.7</v>
      </c>
      <c r="G49" s="21">
        <f t="shared" si="2"/>
        <v>-2.8</v>
      </c>
      <c r="H49" s="21">
        <v>11271.5</v>
      </c>
      <c r="I49" s="21">
        <v>19.2</v>
      </c>
      <c r="J49" s="21">
        <f t="shared" si="3"/>
        <v>-1.5</v>
      </c>
      <c r="K49" s="21">
        <v>-146031.97</v>
      </c>
      <c r="L49" s="21">
        <v>-6.7</v>
      </c>
      <c r="M49" s="21">
        <f t="shared" si="4"/>
        <v>-1</v>
      </c>
      <c r="N49" s="20">
        <v>23897.95</v>
      </c>
      <c r="O49" s="20">
        <v>-7.9</v>
      </c>
      <c r="P49" s="23">
        <f t="shared" si="5"/>
        <v>-1.1</v>
      </c>
      <c r="Q49" s="20">
        <v>16741.75</v>
      </c>
      <c r="R49" s="20">
        <v>3.3</v>
      </c>
      <c r="S49" s="23">
        <f t="shared" si="6"/>
        <v>-1.2</v>
      </c>
      <c r="T49" s="20">
        <v>43.32</v>
      </c>
      <c r="U49" s="20">
        <v>-4.7</v>
      </c>
      <c r="V49" s="23">
        <f t="shared" si="7"/>
        <v>-1.3</v>
      </c>
      <c r="W49" s="12"/>
      <c r="X49" s="12"/>
      <c r="Y49" s="12"/>
      <c r="Z49" s="12"/>
    </row>
    <row r="50">
      <c r="A50" s="19">
        <v>46139.68002976852</v>
      </c>
      <c r="B50" s="20">
        <v>-107503.0</v>
      </c>
      <c r="C50" s="21">
        <v>-5.3</v>
      </c>
      <c r="D50" s="21">
        <f t="shared" si="1"/>
        <v>2.2</v>
      </c>
      <c r="E50" s="21">
        <v>-7256.21</v>
      </c>
      <c r="F50" s="21">
        <v>-6.0</v>
      </c>
      <c r="G50" s="21">
        <f t="shared" si="2"/>
        <v>-1.3</v>
      </c>
      <c r="H50" s="21">
        <v>11820.0</v>
      </c>
      <c r="I50" s="21">
        <v>20.2</v>
      </c>
      <c r="J50" s="21">
        <f t="shared" si="3"/>
        <v>1</v>
      </c>
      <c r="K50" s="21">
        <v>-102939.21</v>
      </c>
      <c r="L50" s="21">
        <v>-4.7</v>
      </c>
      <c r="M50" s="21">
        <f t="shared" si="4"/>
        <v>2</v>
      </c>
      <c r="N50" s="20">
        <v>24092.7</v>
      </c>
      <c r="O50" s="20">
        <v>-7.2</v>
      </c>
      <c r="P50" s="23">
        <f t="shared" si="5"/>
        <v>0.7</v>
      </c>
      <c r="Q50" s="20">
        <v>16996.2</v>
      </c>
      <c r="R50" s="20">
        <v>4.9</v>
      </c>
      <c r="S50" s="23">
        <f t="shared" si="6"/>
        <v>1.6</v>
      </c>
      <c r="T50" s="20">
        <v>44.09</v>
      </c>
      <c r="U50" s="20">
        <v>-3.0</v>
      </c>
      <c r="V50" s="23">
        <f t="shared" si="7"/>
        <v>1.7</v>
      </c>
      <c r="W50" s="12"/>
      <c r="X50" s="12"/>
      <c r="Y50" s="12"/>
      <c r="Z50" s="12"/>
    </row>
    <row r="51">
      <c r="A51" s="19">
        <v>46140.68002570602</v>
      </c>
      <c r="B51" s="20">
        <v>-96838.0</v>
      </c>
      <c r="C51" s="21">
        <v>-4.8</v>
      </c>
      <c r="D51" s="21">
        <f t="shared" si="1"/>
        <v>0.5</v>
      </c>
      <c r="E51" s="21">
        <v>-6198.41</v>
      </c>
      <c r="F51" s="21">
        <v>-5.2</v>
      </c>
      <c r="G51" s="21">
        <f t="shared" si="2"/>
        <v>0.8</v>
      </c>
      <c r="H51" s="21">
        <v>14129.0</v>
      </c>
      <c r="I51" s="21">
        <v>24.1</v>
      </c>
      <c r="J51" s="21">
        <f t="shared" si="3"/>
        <v>3.9</v>
      </c>
      <c r="K51" s="21">
        <v>-88907.41</v>
      </c>
      <c r="L51" s="21">
        <v>-4.1</v>
      </c>
      <c r="M51" s="21">
        <f t="shared" si="4"/>
        <v>0.6</v>
      </c>
      <c r="N51" s="20">
        <v>23995.7</v>
      </c>
      <c r="O51" s="20">
        <v>-7.5</v>
      </c>
      <c r="P51" s="23">
        <f t="shared" si="5"/>
        <v>-0.3</v>
      </c>
      <c r="Q51" s="20">
        <v>17039.85</v>
      </c>
      <c r="R51" s="20">
        <v>5.2</v>
      </c>
      <c r="S51" s="23">
        <f t="shared" si="6"/>
        <v>0.3</v>
      </c>
      <c r="T51" s="20">
        <v>44.21</v>
      </c>
      <c r="U51" s="20">
        <v>-2.7</v>
      </c>
      <c r="V51" s="23">
        <f t="shared" si="7"/>
        <v>0.3</v>
      </c>
      <c r="W51" s="12"/>
      <c r="X51" s="12"/>
      <c r="Y51" s="12"/>
      <c r="Z51" s="12"/>
    </row>
    <row r="52">
      <c r="A52" s="19">
        <v>46141.68002934028</v>
      </c>
      <c r="B52" s="20">
        <v>-94029.0</v>
      </c>
      <c r="C52" s="21">
        <v>-4.7</v>
      </c>
      <c r="D52" s="21">
        <f t="shared" si="1"/>
        <v>0.1</v>
      </c>
      <c r="E52" s="21">
        <v>-10499.41</v>
      </c>
      <c r="F52" s="21">
        <v>-8.7</v>
      </c>
      <c r="G52" s="21">
        <f t="shared" si="2"/>
        <v>-3.5</v>
      </c>
      <c r="H52" s="21">
        <v>14493.5</v>
      </c>
      <c r="I52" s="21">
        <v>24.7</v>
      </c>
      <c r="J52" s="21">
        <f t="shared" si="3"/>
        <v>0.6</v>
      </c>
      <c r="K52" s="21">
        <v>-90034.91</v>
      </c>
      <c r="L52" s="21">
        <v>-4.1</v>
      </c>
      <c r="M52" s="21">
        <f t="shared" si="4"/>
        <v>0</v>
      </c>
      <c r="N52" s="20">
        <v>24177.65</v>
      </c>
      <c r="O52" s="20">
        <v>-6.8</v>
      </c>
      <c r="P52" s="23">
        <f t="shared" si="5"/>
        <v>0.7</v>
      </c>
      <c r="Q52" s="20">
        <v>17029.3</v>
      </c>
      <c r="R52" s="20">
        <v>5.1</v>
      </c>
      <c r="S52" s="23">
        <f t="shared" si="6"/>
        <v>-0.1</v>
      </c>
      <c r="T52" s="20">
        <v>44.39</v>
      </c>
      <c r="U52" s="20">
        <v>-2.3</v>
      </c>
      <c r="V52" s="23">
        <f t="shared" si="7"/>
        <v>0.4</v>
      </c>
      <c r="W52" s="12"/>
      <c r="X52" s="12"/>
      <c r="Y52" s="12"/>
      <c r="Z52" s="12"/>
    </row>
    <row r="53">
      <c r="A53" s="19">
        <v>46142.68003318287</v>
      </c>
      <c r="B53" s="20">
        <v>-117291.0</v>
      </c>
      <c r="C53" s="21">
        <v>-5.8</v>
      </c>
      <c r="D53" s="21">
        <f t="shared" si="1"/>
        <v>-1.1</v>
      </c>
      <c r="E53" s="21">
        <v>-12943.57</v>
      </c>
      <c r="F53" s="21">
        <v>-10.8</v>
      </c>
      <c r="G53" s="21">
        <f t="shared" si="2"/>
        <v>-2.1</v>
      </c>
      <c r="H53" s="21">
        <v>14185.0</v>
      </c>
      <c r="I53" s="21">
        <v>24.2</v>
      </c>
      <c r="J53" s="21">
        <f t="shared" si="3"/>
        <v>-0.5</v>
      </c>
      <c r="K53" s="21">
        <v>-116049.57</v>
      </c>
      <c r="L53" s="21">
        <v>-5.3</v>
      </c>
      <c r="M53" s="21">
        <f t="shared" si="4"/>
        <v>-1.2</v>
      </c>
      <c r="N53" s="20">
        <v>23997.55</v>
      </c>
      <c r="O53" s="20">
        <v>-7.5</v>
      </c>
      <c r="P53" s="23">
        <f t="shared" si="5"/>
        <v>-0.7</v>
      </c>
      <c r="Q53" s="20">
        <v>16882.5</v>
      </c>
      <c r="R53" s="20">
        <v>4.2</v>
      </c>
      <c r="S53" s="23">
        <f t="shared" si="6"/>
        <v>-0.9</v>
      </c>
      <c r="T53" s="20">
        <v>44.14</v>
      </c>
      <c r="U53" s="20">
        <v>-2.9</v>
      </c>
      <c r="V53" s="23">
        <f t="shared" si="7"/>
        <v>-0.6</v>
      </c>
      <c r="W53" s="12"/>
      <c r="X53" s="12"/>
      <c r="Y53" s="12"/>
      <c r="Z53" s="12"/>
    </row>
    <row r="54">
      <c r="A54" s="19">
        <v>46143.680025787035</v>
      </c>
      <c r="B54" s="20">
        <v>-117291.0</v>
      </c>
      <c r="C54" s="21">
        <v>-5.8</v>
      </c>
      <c r="D54" s="21">
        <f t="shared" si="1"/>
        <v>0</v>
      </c>
      <c r="E54" s="21">
        <v>-8775.7</v>
      </c>
      <c r="F54" s="21">
        <v>-7.3</v>
      </c>
      <c r="G54" s="21">
        <f t="shared" si="2"/>
        <v>3.5</v>
      </c>
      <c r="H54" s="21">
        <v>14185.0</v>
      </c>
      <c r="I54" s="21">
        <v>24.2</v>
      </c>
      <c r="J54" s="21">
        <f t="shared" si="3"/>
        <v>0</v>
      </c>
      <c r="K54" s="21">
        <v>-111881.7</v>
      </c>
      <c r="L54" s="21">
        <v>-5.1</v>
      </c>
      <c r="M54" s="21">
        <f t="shared" si="4"/>
        <v>0.2</v>
      </c>
      <c r="N54" s="20">
        <v>23997.55</v>
      </c>
      <c r="O54" s="20">
        <v>-7.5</v>
      </c>
      <c r="P54" s="23">
        <f t="shared" si="5"/>
        <v>0</v>
      </c>
      <c r="Q54" s="20">
        <v>16882.5</v>
      </c>
      <c r="R54" s="20">
        <v>4.2</v>
      </c>
      <c r="S54" s="23">
        <f t="shared" si="6"/>
        <v>0</v>
      </c>
      <c r="T54" s="20">
        <v>44.14</v>
      </c>
      <c r="U54" s="20">
        <v>-2.9</v>
      </c>
      <c r="V54" s="23">
        <f t="shared" si="7"/>
        <v>0</v>
      </c>
      <c r="W54" s="12"/>
      <c r="X54" s="12"/>
      <c r="Y54" s="12"/>
      <c r="Z54" s="12"/>
    </row>
    <row r="55">
      <c r="A55" s="19">
        <v>46146.68004663194</v>
      </c>
      <c r="B55" s="20">
        <v>-87193.0</v>
      </c>
      <c r="C55" s="21">
        <v>-4.3</v>
      </c>
      <c r="D55" s="21">
        <f t="shared" si="1"/>
        <v>1.5</v>
      </c>
      <c r="E55" s="21">
        <v>-9272.66</v>
      </c>
      <c r="F55" s="21">
        <v>-7.7</v>
      </c>
      <c r="G55" s="21">
        <f t="shared" si="2"/>
        <v>-0.4</v>
      </c>
      <c r="H55" s="21">
        <v>15289.0</v>
      </c>
      <c r="I55" s="21">
        <v>26.1</v>
      </c>
      <c r="J55" s="21">
        <f t="shared" si="3"/>
        <v>1.9</v>
      </c>
      <c r="K55" s="21">
        <v>-81176.66</v>
      </c>
      <c r="L55" s="21">
        <v>-3.7</v>
      </c>
      <c r="M55" s="21">
        <f t="shared" si="4"/>
        <v>1.4</v>
      </c>
      <c r="N55" s="20">
        <v>24119.3</v>
      </c>
      <c r="O55" s="20">
        <v>-7.1</v>
      </c>
      <c r="P55" s="23">
        <f t="shared" si="5"/>
        <v>0.4</v>
      </c>
      <c r="Q55" s="20">
        <v>16984.9</v>
      </c>
      <c r="R55" s="20">
        <v>4.8</v>
      </c>
      <c r="S55" s="23">
        <f t="shared" si="6"/>
        <v>0.6</v>
      </c>
      <c r="T55" s="20">
        <v>44.49</v>
      </c>
      <c r="U55" s="20">
        <v>-2.1</v>
      </c>
      <c r="V55" s="23">
        <f t="shared" si="7"/>
        <v>0.8</v>
      </c>
      <c r="W55" s="12"/>
      <c r="X55" s="12"/>
      <c r="Y55" s="12"/>
      <c r="Z55" s="12"/>
    </row>
    <row r="56">
      <c r="A56" s="19">
        <v>46147.68002693287</v>
      </c>
      <c r="B56" s="20">
        <v>-109123.0</v>
      </c>
      <c r="C56" s="21">
        <v>-5.4</v>
      </c>
      <c r="D56" s="21">
        <f t="shared" si="1"/>
        <v>-1.1</v>
      </c>
      <c r="E56" s="21">
        <v>-11260.47</v>
      </c>
      <c r="F56" s="21">
        <v>-9.4</v>
      </c>
      <c r="G56" s="21">
        <f t="shared" si="2"/>
        <v>-1.7</v>
      </c>
      <c r="H56" s="21">
        <v>15306.5</v>
      </c>
      <c r="I56" s="21">
        <v>26.1</v>
      </c>
      <c r="J56" s="21">
        <f t="shared" si="3"/>
        <v>0</v>
      </c>
      <c r="K56" s="21">
        <v>-105076.97</v>
      </c>
      <c r="L56" s="21">
        <v>-4.8</v>
      </c>
      <c r="M56" s="21">
        <f t="shared" si="4"/>
        <v>-1.1</v>
      </c>
      <c r="N56" s="20">
        <v>24032.8</v>
      </c>
      <c r="O56" s="20">
        <v>-7.4</v>
      </c>
      <c r="P56" s="23">
        <f t="shared" si="5"/>
        <v>-0.3</v>
      </c>
      <c r="Q56" s="20">
        <v>16997.6</v>
      </c>
      <c r="R56" s="20">
        <v>4.9</v>
      </c>
      <c r="S56" s="23">
        <f t="shared" si="6"/>
        <v>0.1</v>
      </c>
      <c r="T56" s="20">
        <v>44.55</v>
      </c>
      <c r="U56" s="20">
        <v>-2.0</v>
      </c>
      <c r="V56" s="23">
        <f t="shared" si="7"/>
        <v>0.1</v>
      </c>
      <c r="W56" s="12"/>
      <c r="X56" s="12"/>
      <c r="Y56" s="12"/>
      <c r="Z56" s="12"/>
    </row>
    <row r="57">
      <c r="A57" s="19">
        <v>46148.70818392361</v>
      </c>
      <c r="B57" s="20">
        <v>-25669.0</v>
      </c>
      <c r="C57" s="21">
        <v>-1.2</v>
      </c>
      <c r="D57" s="21">
        <f t="shared" si="1"/>
        <v>4.2</v>
      </c>
      <c r="E57" s="21">
        <v>-13313.21</v>
      </c>
      <c r="F57" s="21">
        <v>-11.1</v>
      </c>
      <c r="G57" s="21">
        <f t="shared" si="2"/>
        <v>-1.7</v>
      </c>
      <c r="H57" s="21">
        <v>32500.5</v>
      </c>
      <c r="I57" s="21">
        <v>31.2</v>
      </c>
      <c r="J57" s="21">
        <f t="shared" si="3"/>
        <v>5.1</v>
      </c>
      <c r="K57" s="21">
        <v>-6481.71</v>
      </c>
      <c r="L57" s="21">
        <v>-0.3</v>
      </c>
      <c r="M57" s="21">
        <f t="shared" si="4"/>
        <v>4.5</v>
      </c>
      <c r="N57" s="20">
        <v>24330.95</v>
      </c>
      <c r="O57" s="20">
        <v>-6.2</v>
      </c>
      <c r="P57" s="23">
        <f t="shared" si="5"/>
        <v>1.2</v>
      </c>
      <c r="Q57" s="20">
        <v>17372.95</v>
      </c>
      <c r="R57" s="20">
        <v>7.2</v>
      </c>
      <c r="S57" s="23">
        <f t="shared" si="6"/>
        <v>2.3</v>
      </c>
      <c r="T57" s="20">
        <v>45.54</v>
      </c>
      <c r="U57" s="20">
        <v>0.2</v>
      </c>
      <c r="V57" s="23">
        <f t="shared" si="7"/>
        <v>2.2</v>
      </c>
      <c r="W57" s="12"/>
      <c r="X57" s="12"/>
      <c r="Y57" s="12"/>
      <c r="Z57" s="12"/>
    </row>
    <row r="58">
      <c r="A58" s="19">
        <v>46149.85582704861</v>
      </c>
      <c r="B58" s="20">
        <v>11210.0</v>
      </c>
      <c r="C58" s="21">
        <v>0.5</v>
      </c>
      <c r="D58" s="21">
        <f t="shared" si="1"/>
        <v>1.7</v>
      </c>
      <c r="E58" s="21">
        <v>-702.12</v>
      </c>
      <c r="F58" s="21">
        <v>-0.6</v>
      </c>
      <c r="G58" s="21">
        <f t="shared" si="2"/>
        <v>10.5</v>
      </c>
      <c r="H58" s="21">
        <v>32741.0</v>
      </c>
      <c r="I58" s="21">
        <v>31.4</v>
      </c>
      <c r="J58" s="21">
        <f t="shared" si="3"/>
        <v>0.2</v>
      </c>
      <c r="K58" s="21">
        <v>43248.88</v>
      </c>
      <c r="L58" s="21">
        <v>1.8</v>
      </c>
      <c r="M58" s="21">
        <f t="shared" si="4"/>
        <v>2.1</v>
      </c>
      <c r="N58" s="20">
        <v>24326.65</v>
      </c>
      <c r="O58" s="20">
        <v>-6.3</v>
      </c>
      <c r="P58" s="23">
        <f t="shared" si="5"/>
        <v>-0.1</v>
      </c>
      <c r="Q58" s="20">
        <v>17617.55</v>
      </c>
      <c r="R58" s="20">
        <v>8.8</v>
      </c>
      <c r="S58" s="23">
        <f t="shared" si="6"/>
        <v>1.6</v>
      </c>
      <c r="T58" s="20">
        <v>45.92</v>
      </c>
      <c r="U58" s="20">
        <v>1.1</v>
      </c>
      <c r="V58" s="23">
        <f t="shared" si="7"/>
        <v>0.9</v>
      </c>
      <c r="W58" s="12"/>
      <c r="X58" s="12"/>
      <c r="Y58" s="12"/>
      <c r="Z58" s="12"/>
    </row>
    <row r="59">
      <c r="A59" s="19">
        <v>46150.680025740745</v>
      </c>
      <c r="B59" s="20">
        <v>-8015.0</v>
      </c>
      <c r="C59" s="21">
        <v>-0.4</v>
      </c>
      <c r="D59" s="21">
        <f t="shared" si="1"/>
        <v>-0.9</v>
      </c>
      <c r="E59" s="21">
        <v>-5968.41</v>
      </c>
      <c r="F59" s="21">
        <v>-5.0</v>
      </c>
      <c r="G59" s="21">
        <f t="shared" si="2"/>
        <v>-4.4</v>
      </c>
      <c r="H59" s="21">
        <v>34534.0</v>
      </c>
      <c r="I59" s="21">
        <v>29.4</v>
      </c>
      <c r="J59" s="21">
        <f t="shared" si="3"/>
        <v>-2</v>
      </c>
      <c r="K59" s="21">
        <v>20550.59</v>
      </c>
      <c r="L59" s="21">
        <v>0.9</v>
      </c>
      <c r="M59" s="21">
        <f t="shared" si="4"/>
        <v>-0.9</v>
      </c>
      <c r="N59" s="20">
        <v>24176.15</v>
      </c>
      <c r="O59" s="20">
        <v>-6.8</v>
      </c>
      <c r="P59" s="23">
        <f t="shared" si="5"/>
        <v>-0.5</v>
      </c>
      <c r="Q59" s="20">
        <v>17628.2</v>
      </c>
      <c r="R59" s="20">
        <v>8.8</v>
      </c>
      <c r="S59" s="23">
        <f t="shared" si="6"/>
        <v>0</v>
      </c>
      <c r="T59" s="20">
        <v>46.19</v>
      </c>
      <c r="U59" s="20">
        <v>1.7</v>
      </c>
      <c r="V59" s="23">
        <f t="shared" si="7"/>
        <v>0.6</v>
      </c>
      <c r="W59" s="12"/>
      <c r="X59" s="12"/>
      <c r="Y59" s="12"/>
      <c r="Z59" s="12"/>
    </row>
    <row r="60">
      <c r="A60" s="19">
        <v>46153.68009780093</v>
      </c>
      <c r="B60" s="20">
        <v>-26202.0</v>
      </c>
      <c r="C60" s="21">
        <v>-1.2</v>
      </c>
      <c r="D60" s="21">
        <f t="shared" si="1"/>
        <v>-0.8</v>
      </c>
      <c r="E60" s="21">
        <v>-4230.98</v>
      </c>
      <c r="F60" s="21">
        <v>-3.5</v>
      </c>
      <c r="G60" s="21">
        <f t="shared" si="2"/>
        <v>1.5</v>
      </c>
      <c r="H60" s="21">
        <v>32371.0</v>
      </c>
      <c r="I60" s="21">
        <v>27.5</v>
      </c>
      <c r="J60" s="21">
        <f t="shared" si="3"/>
        <v>-1.9</v>
      </c>
      <c r="K60" s="21">
        <v>1938.02</v>
      </c>
      <c r="L60" s="21">
        <v>0.1</v>
      </c>
      <c r="M60" s="21">
        <f t="shared" si="4"/>
        <v>-0.8</v>
      </c>
      <c r="N60" s="20">
        <v>23815.85</v>
      </c>
      <c r="O60" s="20">
        <v>-8.2</v>
      </c>
      <c r="P60" s="23">
        <f t="shared" si="5"/>
        <v>-1.4</v>
      </c>
      <c r="Q60" s="20">
        <v>17481.05</v>
      </c>
      <c r="R60" s="20">
        <v>7.9</v>
      </c>
      <c r="S60" s="23">
        <f t="shared" si="6"/>
        <v>-0.9</v>
      </c>
      <c r="T60" s="20">
        <v>45.77</v>
      </c>
      <c r="U60" s="20">
        <v>0.7</v>
      </c>
      <c r="V60" s="23">
        <f t="shared" si="7"/>
        <v>-1</v>
      </c>
      <c r="W60" s="12"/>
      <c r="X60" s="12"/>
      <c r="Y60" s="12"/>
      <c r="Z60" s="12"/>
    </row>
    <row r="61">
      <c r="A61" s="19">
        <v>46154.68002824074</v>
      </c>
      <c r="B61" s="20">
        <v>-103268.0</v>
      </c>
      <c r="C61" s="21">
        <v>-4.9</v>
      </c>
      <c r="D61" s="21">
        <f t="shared" si="1"/>
        <v>-3.7</v>
      </c>
      <c r="E61" s="21">
        <v>2057.28</v>
      </c>
      <c r="F61" s="21">
        <v>1.7</v>
      </c>
      <c r="G61" s="21">
        <f t="shared" si="2"/>
        <v>5.2</v>
      </c>
      <c r="H61" s="21">
        <v>30224.0</v>
      </c>
      <c r="I61" s="21">
        <v>25.7</v>
      </c>
      <c r="J61" s="21">
        <f t="shared" si="3"/>
        <v>-1.8</v>
      </c>
      <c r="K61" s="21">
        <v>-70986.72</v>
      </c>
      <c r="L61" s="21">
        <v>-3.0</v>
      </c>
      <c r="M61" s="21">
        <f t="shared" si="4"/>
        <v>-3.1</v>
      </c>
      <c r="N61" s="20">
        <v>23379.55</v>
      </c>
      <c r="O61" s="20">
        <v>-9.9</v>
      </c>
      <c r="P61" s="23">
        <f t="shared" si="5"/>
        <v>-1.7</v>
      </c>
      <c r="Q61" s="20">
        <v>17055.5</v>
      </c>
      <c r="R61" s="20">
        <v>5.3</v>
      </c>
      <c r="S61" s="23">
        <f t="shared" si="6"/>
        <v>-2.6</v>
      </c>
      <c r="T61" s="20">
        <v>44.54</v>
      </c>
      <c r="U61" s="20">
        <v>-2.0</v>
      </c>
      <c r="V61" s="23">
        <f t="shared" si="7"/>
        <v>-2.7</v>
      </c>
      <c r="W61" s="12"/>
      <c r="X61" s="12"/>
      <c r="Y61" s="12"/>
      <c r="Z61" s="12"/>
    </row>
    <row r="62">
      <c r="A62" s="19">
        <v>46155.680031111115</v>
      </c>
      <c r="B62" s="20">
        <v>-95141.0</v>
      </c>
      <c r="C62" s="21">
        <v>-4.5</v>
      </c>
      <c r="D62" s="21">
        <f t="shared" si="1"/>
        <v>0.4</v>
      </c>
      <c r="E62" s="21">
        <v>1691.0</v>
      </c>
      <c r="F62" s="21">
        <v>1.4</v>
      </c>
      <c r="G62" s="21">
        <f t="shared" si="2"/>
        <v>-0.3</v>
      </c>
      <c r="H62" s="21">
        <v>30765.0</v>
      </c>
      <c r="I62" s="21">
        <v>26.1</v>
      </c>
      <c r="J62" s="21">
        <f t="shared" si="3"/>
        <v>0.4</v>
      </c>
      <c r="K62" s="21">
        <v>-62685.0</v>
      </c>
      <c r="L62" s="21">
        <v>-2.7</v>
      </c>
      <c r="M62" s="21">
        <f t="shared" si="4"/>
        <v>0.3</v>
      </c>
      <c r="N62" s="20">
        <v>23412.6</v>
      </c>
      <c r="O62" s="20">
        <v>-9.8</v>
      </c>
      <c r="P62" s="23">
        <f t="shared" si="5"/>
        <v>0.1</v>
      </c>
      <c r="Q62" s="20">
        <v>17156.9</v>
      </c>
      <c r="R62" s="20">
        <v>5.9</v>
      </c>
      <c r="S62" s="23">
        <f t="shared" si="6"/>
        <v>0.6</v>
      </c>
      <c r="T62" s="20">
        <v>44.59</v>
      </c>
      <c r="U62" s="20">
        <v>-1.9</v>
      </c>
      <c r="V62" s="23">
        <f t="shared" si="7"/>
        <v>0.1</v>
      </c>
      <c r="W62" s="12"/>
      <c r="X62" s="12"/>
      <c r="Y62" s="12"/>
      <c r="Z62" s="12"/>
    </row>
    <row r="63">
      <c r="A63" s="19">
        <v>46156.680025787035</v>
      </c>
      <c r="B63" s="20">
        <v>-109104.0</v>
      </c>
      <c r="C63" s="21">
        <v>-5.2</v>
      </c>
      <c r="D63" s="21">
        <f t="shared" si="1"/>
        <v>-0.7</v>
      </c>
      <c r="E63" s="21">
        <v>653.95</v>
      </c>
      <c r="F63" s="21">
        <v>0.5</v>
      </c>
      <c r="G63" s="21">
        <f t="shared" si="2"/>
        <v>-0.9</v>
      </c>
      <c r="H63" s="21">
        <v>31161.0</v>
      </c>
      <c r="I63" s="21">
        <v>26.5</v>
      </c>
      <c r="J63" s="21">
        <f t="shared" si="3"/>
        <v>0.4</v>
      </c>
      <c r="K63" s="21">
        <v>-77289.05</v>
      </c>
      <c r="L63" s="21">
        <v>-3.3</v>
      </c>
      <c r="M63" s="21">
        <f t="shared" si="4"/>
        <v>-0.6</v>
      </c>
      <c r="N63" s="20">
        <v>23689.6</v>
      </c>
      <c r="O63" s="20">
        <v>-8.7</v>
      </c>
      <c r="P63" s="23">
        <f t="shared" si="5"/>
        <v>1.1</v>
      </c>
      <c r="Q63" s="20">
        <v>17357.5</v>
      </c>
      <c r="R63" s="20">
        <v>7.1</v>
      </c>
      <c r="S63" s="23">
        <f t="shared" si="6"/>
        <v>1.2</v>
      </c>
      <c r="T63" s="20">
        <v>44.9</v>
      </c>
      <c r="U63" s="20">
        <v>-1.2</v>
      </c>
      <c r="V63" s="23">
        <f t="shared" si="7"/>
        <v>0.7</v>
      </c>
      <c r="W63" s="12"/>
      <c r="X63" s="12"/>
      <c r="Y63" s="12"/>
      <c r="Z63" s="12"/>
    </row>
    <row r="64">
      <c r="A64" s="19">
        <v>46157.680030891206</v>
      </c>
      <c r="B64" s="20">
        <v>-118406.0</v>
      </c>
      <c r="C64" s="21">
        <v>-5.6</v>
      </c>
      <c r="D64" s="21">
        <f t="shared" si="1"/>
        <v>-0.4</v>
      </c>
      <c r="E64" s="21">
        <v>-3170.33</v>
      </c>
      <c r="F64" s="21">
        <v>-2.6</v>
      </c>
      <c r="G64" s="21">
        <f t="shared" si="2"/>
        <v>-3.1</v>
      </c>
      <c r="H64" s="21">
        <v>31017.5</v>
      </c>
      <c r="I64" s="21">
        <v>26.4</v>
      </c>
      <c r="J64" s="21">
        <f t="shared" si="3"/>
        <v>-0.1</v>
      </c>
      <c r="K64" s="21">
        <v>-90558.83</v>
      </c>
      <c r="L64" s="21">
        <v>-3.8</v>
      </c>
      <c r="M64" s="21">
        <f t="shared" si="4"/>
        <v>-0.5</v>
      </c>
      <c r="N64" s="20">
        <v>23643.5</v>
      </c>
      <c r="O64" s="20">
        <v>-8.9</v>
      </c>
      <c r="P64" s="23">
        <f t="shared" si="5"/>
        <v>-0.2</v>
      </c>
      <c r="Q64" s="20">
        <v>17273.15</v>
      </c>
      <c r="R64" s="20">
        <v>6.6</v>
      </c>
      <c r="S64" s="23">
        <f t="shared" si="6"/>
        <v>-0.5</v>
      </c>
      <c r="T64" s="20">
        <v>44.7</v>
      </c>
      <c r="U64" s="20">
        <v>-1.6</v>
      </c>
      <c r="V64" s="23">
        <f t="shared" si="7"/>
        <v>-0.4</v>
      </c>
      <c r="W64" s="12"/>
      <c r="X64" s="12"/>
      <c r="Y64" s="12"/>
      <c r="Z64" s="12"/>
    </row>
    <row r="65">
      <c r="A65" s="19">
        <v>46160.68002342593</v>
      </c>
      <c r="B65" s="20">
        <v>-174265.0</v>
      </c>
      <c r="C65" s="21">
        <v>-8.2</v>
      </c>
      <c r="D65" s="21">
        <f t="shared" si="1"/>
        <v>-2.6</v>
      </c>
      <c r="E65" s="21">
        <v>-10255.63</v>
      </c>
      <c r="F65" s="21">
        <v>-8.5</v>
      </c>
      <c r="G65" s="21">
        <f t="shared" si="2"/>
        <v>-5.9</v>
      </c>
      <c r="H65" s="21">
        <v>29671.5</v>
      </c>
      <c r="I65" s="21">
        <v>25.2</v>
      </c>
      <c r="J65" s="21">
        <f t="shared" si="3"/>
        <v>-1.2</v>
      </c>
      <c r="K65" s="21">
        <v>-154849.13</v>
      </c>
      <c r="L65" s="21">
        <v>-6.6</v>
      </c>
      <c r="M65" s="21">
        <f t="shared" si="4"/>
        <v>-2.8</v>
      </c>
      <c r="N65" s="20">
        <v>23649.95</v>
      </c>
      <c r="O65" s="20">
        <v>-8.9</v>
      </c>
      <c r="P65" s="23">
        <f t="shared" si="5"/>
        <v>0</v>
      </c>
      <c r="Q65" s="20">
        <v>17261.35</v>
      </c>
      <c r="R65" s="20">
        <v>6.6</v>
      </c>
      <c r="S65" s="23">
        <f t="shared" si="6"/>
        <v>0</v>
      </c>
      <c r="T65" s="20">
        <v>44.25</v>
      </c>
      <c r="U65" s="20">
        <v>-2.6</v>
      </c>
      <c r="V65" s="23">
        <f t="shared" si="7"/>
        <v>-1</v>
      </c>
      <c r="W65" s="12"/>
      <c r="X65" s="12"/>
      <c r="Y65" s="12"/>
      <c r="Z65" s="12"/>
    </row>
    <row r="66">
      <c r="A66" s="19">
        <v>46162.68002665509</v>
      </c>
      <c r="B66" s="20">
        <v>-138703.0</v>
      </c>
      <c r="C66" s="21">
        <v>-6.6</v>
      </c>
      <c r="D66" s="21">
        <f t="shared" si="1"/>
        <v>1.6</v>
      </c>
      <c r="E66" s="21">
        <v>-16040.5</v>
      </c>
      <c r="F66" s="21">
        <v>-13.4</v>
      </c>
      <c r="G66" s="21">
        <f t="shared" si="2"/>
        <v>-4.9</v>
      </c>
      <c r="H66" s="21">
        <v>30261.0</v>
      </c>
      <c r="I66" s="21">
        <v>25.7</v>
      </c>
      <c r="J66" s="21">
        <f t="shared" si="3"/>
        <v>0.5</v>
      </c>
      <c r="K66" s="21">
        <v>-124482.5</v>
      </c>
      <c r="L66" s="21">
        <v>-5.3</v>
      </c>
      <c r="M66" s="21">
        <f t="shared" si="4"/>
        <v>1.3</v>
      </c>
      <c r="N66" s="20">
        <v>23659.0</v>
      </c>
      <c r="O66" s="20">
        <v>-8.8</v>
      </c>
      <c r="P66" s="23">
        <f t="shared" si="5"/>
        <v>0.1</v>
      </c>
      <c r="Q66" s="20">
        <v>17499.8</v>
      </c>
      <c r="R66" s="20">
        <v>8.0</v>
      </c>
      <c r="S66" s="23">
        <f t="shared" si="6"/>
        <v>1.4</v>
      </c>
      <c r="T66" s="20">
        <v>44.94</v>
      </c>
      <c r="U66" s="20">
        <v>-1.1</v>
      </c>
      <c r="V66" s="23">
        <f t="shared" si="7"/>
        <v>1.5</v>
      </c>
      <c r="W66" s="12"/>
      <c r="X66" s="12"/>
      <c r="Y66" s="12"/>
      <c r="Z66" s="12"/>
    </row>
    <row r="67">
      <c r="A67" s="19">
        <v>46163.68002222222</v>
      </c>
      <c r="B67" s="20">
        <v>-91060.0</v>
      </c>
      <c r="C67" s="21">
        <v>-4.3</v>
      </c>
      <c r="D67" s="21">
        <f t="shared" si="1"/>
        <v>2.3</v>
      </c>
      <c r="E67" s="21">
        <v>-13641.87</v>
      </c>
      <c r="F67" s="21">
        <v>-11.4</v>
      </c>
      <c r="G67" s="21">
        <f t="shared" si="2"/>
        <v>2</v>
      </c>
      <c r="H67" s="21">
        <v>31552.0</v>
      </c>
      <c r="I67" s="21">
        <v>26.8</v>
      </c>
      <c r="J67" s="21">
        <f t="shared" si="3"/>
        <v>1.1</v>
      </c>
      <c r="K67" s="21">
        <v>-73149.87</v>
      </c>
      <c r="L67" s="21">
        <v>-3.1</v>
      </c>
      <c r="M67" s="21">
        <f t="shared" si="4"/>
        <v>2.2</v>
      </c>
      <c r="N67" s="20">
        <v>23654.7</v>
      </c>
      <c r="O67" s="20">
        <v>-8.8</v>
      </c>
      <c r="P67" s="23">
        <f t="shared" si="5"/>
        <v>0</v>
      </c>
      <c r="Q67" s="20">
        <v>17454.1</v>
      </c>
      <c r="R67" s="20">
        <v>7.7</v>
      </c>
      <c r="S67" s="23">
        <f t="shared" si="6"/>
        <v>-0.3</v>
      </c>
      <c r="T67" s="20">
        <v>45.22</v>
      </c>
      <c r="U67" s="20">
        <v>-0.5</v>
      </c>
      <c r="V67" s="23">
        <f t="shared" si="7"/>
        <v>0.6</v>
      </c>
      <c r="W67" s="12"/>
      <c r="X67" s="12"/>
      <c r="Y67" s="12"/>
      <c r="Z67" s="12"/>
    </row>
    <row r="68">
      <c r="A68" s="19">
        <v>46164.680022141205</v>
      </c>
      <c r="B68" s="20">
        <v>-77945.0</v>
      </c>
      <c r="C68" s="21">
        <v>-3.7</v>
      </c>
      <c r="D68" s="21">
        <f t="shared" si="1"/>
        <v>0.6</v>
      </c>
      <c r="E68" s="21">
        <v>-13729.72</v>
      </c>
      <c r="F68" s="21">
        <v>-11.4</v>
      </c>
      <c r="G68" s="21">
        <f t="shared" si="2"/>
        <v>0</v>
      </c>
      <c r="H68" s="21">
        <v>33510.0</v>
      </c>
      <c r="I68" s="21">
        <v>28.5</v>
      </c>
      <c r="J68" s="21">
        <f t="shared" si="3"/>
        <v>1.7</v>
      </c>
      <c r="K68" s="21">
        <v>-58164.72</v>
      </c>
      <c r="L68" s="21">
        <v>-2.5</v>
      </c>
      <c r="M68" s="21">
        <f t="shared" si="4"/>
        <v>0.6</v>
      </c>
      <c r="N68" s="20">
        <v>23719.3</v>
      </c>
      <c r="O68" s="20">
        <v>-8.6</v>
      </c>
      <c r="P68" s="23">
        <f t="shared" si="5"/>
        <v>0.2</v>
      </c>
      <c r="Q68" s="20">
        <v>17478.25</v>
      </c>
      <c r="R68" s="20">
        <v>7.9</v>
      </c>
      <c r="S68" s="23">
        <f t="shared" si="6"/>
        <v>0.2</v>
      </c>
      <c r="T68" s="20">
        <v>44.77</v>
      </c>
      <c r="U68" s="20">
        <v>-1.5</v>
      </c>
      <c r="V68" s="23">
        <f t="shared" si="7"/>
        <v>-1</v>
      </c>
      <c r="W68" s="12"/>
      <c r="X68" s="12"/>
      <c r="Y68" s="12"/>
      <c r="Z68" s="12"/>
    </row>
    <row r="69">
      <c r="A69" s="19">
        <v>46167.993404768524</v>
      </c>
      <c r="B69" s="20">
        <v>-41514.0</v>
      </c>
      <c r="C69" s="21">
        <v>-2.0</v>
      </c>
      <c r="D69" s="21">
        <f t="shared" si="1"/>
        <v>1.7</v>
      </c>
      <c r="E69" s="21">
        <v>-14042.63</v>
      </c>
      <c r="F69" s="21">
        <v>-11.7</v>
      </c>
      <c r="G69" s="21">
        <f t="shared" si="2"/>
        <v>-0.3</v>
      </c>
      <c r="H69" s="21">
        <v>32565.0</v>
      </c>
      <c r="I69" s="21">
        <v>27.7</v>
      </c>
      <c r="J69" s="21">
        <f t="shared" si="3"/>
        <v>-0.8</v>
      </c>
      <c r="K69" s="21">
        <v>-22991.63</v>
      </c>
      <c r="L69" s="21">
        <v>-1.0</v>
      </c>
      <c r="M69" s="21">
        <f t="shared" si="4"/>
        <v>1.5</v>
      </c>
      <c r="N69" s="20">
        <v>24031.7</v>
      </c>
      <c r="O69" s="20">
        <v>-7.4</v>
      </c>
      <c r="P69" s="23">
        <f t="shared" si="5"/>
        <v>1.2</v>
      </c>
      <c r="Q69" s="20">
        <v>17650.6</v>
      </c>
      <c r="R69" s="20">
        <v>9.0</v>
      </c>
      <c r="S69" s="23">
        <f t="shared" si="6"/>
        <v>1.1</v>
      </c>
      <c r="T69" s="20">
        <v>45.51</v>
      </c>
      <c r="U69" s="20">
        <v>0.2</v>
      </c>
      <c r="V69" s="23">
        <f t="shared" si="7"/>
        <v>1.7</v>
      </c>
      <c r="W69" s="12"/>
      <c r="X69" s="12"/>
      <c r="Y69" s="12"/>
      <c r="Z69" s="12"/>
    </row>
    <row r="70">
      <c r="A70" s="19">
        <v>46168.680026863425</v>
      </c>
      <c r="B70" s="20">
        <v>-45826.0</v>
      </c>
      <c r="C70" s="21">
        <v>-2.2</v>
      </c>
      <c r="D70" s="21">
        <f t="shared" si="1"/>
        <v>-0.2</v>
      </c>
      <c r="E70" s="21">
        <v>-13511.61</v>
      </c>
      <c r="F70" s="21">
        <v>-11.2</v>
      </c>
      <c r="G70" s="21">
        <f t="shared" si="2"/>
        <v>0.5</v>
      </c>
      <c r="H70" s="21">
        <v>32022.5</v>
      </c>
      <c r="I70" s="21">
        <v>27.2</v>
      </c>
      <c r="J70" s="21">
        <f t="shared" si="3"/>
        <v>-0.5</v>
      </c>
      <c r="K70" s="21">
        <v>-27315.11</v>
      </c>
      <c r="L70" s="21">
        <v>-1.2</v>
      </c>
      <c r="M70" s="21">
        <f t="shared" si="4"/>
        <v>-0.2</v>
      </c>
      <c r="N70" s="20">
        <v>23913.7</v>
      </c>
      <c r="O70" s="20">
        <v>-7.8</v>
      </c>
      <c r="P70" s="23">
        <f t="shared" si="5"/>
        <v>-0.4</v>
      </c>
      <c r="Q70" s="20">
        <v>17741.15</v>
      </c>
      <c r="R70" s="20">
        <v>9.5</v>
      </c>
      <c r="S70" s="23">
        <f t="shared" si="6"/>
        <v>0.5</v>
      </c>
      <c r="T70" s="20">
        <v>45.55</v>
      </c>
      <c r="U70" s="20">
        <v>0.2</v>
      </c>
      <c r="V70" s="23">
        <f t="shared" si="7"/>
        <v>0</v>
      </c>
      <c r="W70" s="12"/>
      <c r="X70" s="12"/>
      <c r="Y70" s="12"/>
      <c r="Z70" s="12"/>
    </row>
    <row r="71">
      <c r="A71" s="19">
        <v>46169.680027766204</v>
      </c>
      <c r="B71" s="20">
        <v>-109892.0</v>
      </c>
      <c r="C71" s="21">
        <v>-5.2</v>
      </c>
      <c r="D71" s="21">
        <f t="shared" si="1"/>
        <v>-3</v>
      </c>
      <c r="E71" s="21">
        <v>-8592.45</v>
      </c>
      <c r="F71" s="21">
        <v>-7.2</v>
      </c>
      <c r="G71" s="21">
        <f t="shared" si="2"/>
        <v>4</v>
      </c>
      <c r="H71" s="21">
        <v>32886.5</v>
      </c>
      <c r="I71" s="21">
        <v>28.0</v>
      </c>
      <c r="J71" s="21">
        <f t="shared" si="3"/>
        <v>0.8</v>
      </c>
      <c r="K71" s="21">
        <v>-85597.95</v>
      </c>
      <c r="L71" s="21">
        <v>-3.6</v>
      </c>
      <c r="M71" s="21">
        <f t="shared" si="4"/>
        <v>-2.4</v>
      </c>
      <c r="N71" s="20">
        <v>23907.15</v>
      </c>
      <c r="O71" s="20">
        <v>-7.9</v>
      </c>
      <c r="P71" s="23">
        <f t="shared" si="5"/>
        <v>-0.1</v>
      </c>
      <c r="Q71" s="20">
        <v>17754.95</v>
      </c>
      <c r="R71" s="20">
        <v>9.6</v>
      </c>
      <c r="S71" s="23">
        <f t="shared" si="6"/>
        <v>0.1</v>
      </c>
      <c r="T71" s="20">
        <v>45.57</v>
      </c>
      <c r="U71" s="20">
        <v>0.3</v>
      </c>
      <c r="V71" s="23">
        <f t="shared" si="7"/>
        <v>0.1</v>
      </c>
      <c r="W71" s="12"/>
      <c r="X71" s="12"/>
      <c r="Y71" s="12"/>
      <c r="Z71" s="12"/>
    </row>
    <row r="72">
      <c r="A72" s="19">
        <v>46170.68003011574</v>
      </c>
      <c r="B72" s="20">
        <v>-109892.0</v>
      </c>
      <c r="C72" s="21">
        <v>-5.2</v>
      </c>
      <c r="D72" s="21">
        <f t="shared" si="1"/>
        <v>0</v>
      </c>
      <c r="E72" s="21">
        <v>-9901.68</v>
      </c>
      <c r="F72" s="21">
        <v>-8.2</v>
      </c>
      <c r="G72" s="21">
        <f t="shared" si="2"/>
        <v>-1</v>
      </c>
      <c r="H72" s="21">
        <v>32886.5</v>
      </c>
      <c r="I72" s="21">
        <v>28.0</v>
      </c>
      <c r="J72" s="21">
        <f t="shared" si="3"/>
        <v>0</v>
      </c>
      <c r="K72" s="21">
        <v>-86907.18</v>
      </c>
      <c r="L72" s="21">
        <v>-3.7</v>
      </c>
      <c r="M72" s="21">
        <f t="shared" si="4"/>
        <v>-0.1</v>
      </c>
      <c r="N72" s="20">
        <v>23907.15</v>
      </c>
      <c r="O72" s="20">
        <v>-7.9</v>
      </c>
      <c r="P72" s="23">
        <f t="shared" si="5"/>
        <v>0</v>
      </c>
      <c r="Q72" s="20">
        <v>17754.95</v>
      </c>
      <c r="R72" s="20">
        <v>9.6</v>
      </c>
      <c r="S72" s="23">
        <f t="shared" si="6"/>
        <v>0</v>
      </c>
      <c r="T72" s="20">
        <v>45.57</v>
      </c>
      <c r="U72" s="20">
        <v>0.3</v>
      </c>
      <c r="V72" s="23">
        <f t="shared" si="7"/>
        <v>0</v>
      </c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</sheetData>
  <mergeCells count="7">
    <mergeCell ref="B1:D1"/>
    <mergeCell ref="E1:G1"/>
    <mergeCell ref="H1:J1"/>
    <mergeCell ref="K1:M1"/>
    <mergeCell ref="N1:P1"/>
    <mergeCell ref="Q1:S1"/>
    <mergeCell ref="T1:V1"/>
  </mergeCell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</cols>
  <sheetData>
    <row r="1">
      <c r="A1" s="24" t="s">
        <v>30</v>
      </c>
    </row>
  </sheetData>
  <drawing r:id="rId1"/>
</worksheet>
</file>