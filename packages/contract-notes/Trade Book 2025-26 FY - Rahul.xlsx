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Book" sheetId="1" r:id="rId5"/>
    <sheet state="visible" name="Monthly returns 2025-26" sheetId="2" r:id="rId6"/>
    <sheet state="visible" name="Profit" sheetId="3" r:id="rId7"/>
    <sheet state="visible" name="Avg Profit" sheetId="4" r:id="rId8"/>
    <sheet state="visible" name="Avg Charge" sheetId="5" r:id="rId9"/>
    <sheet state="visible" name="ChargeProfit Ratio" sheetId="6" r:id="rId10"/>
    <sheet state="visible" name="ProfitCapital Ratio" sheetId="7" r:id="rId11"/>
    <sheet state="visible" name="Daily Profit" sheetId="8" r:id="rId12"/>
  </sheets>
  <definedNames/>
  <calcPr/>
</workbook>
</file>

<file path=xl/sharedStrings.xml><?xml version="1.0" encoding="utf-8"?>
<sst xmlns="http://schemas.openxmlformats.org/spreadsheetml/2006/main" count="629" uniqueCount="335">
  <si>
    <t>No</t>
  </si>
  <si>
    <t>Day</t>
  </si>
  <si>
    <t>Date</t>
  </si>
  <si>
    <t>Sell Algo(Angel One)</t>
  </si>
  <si>
    <t>Brokerage(Angel One)</t>
  </si>
  <si>
    <t>Other Charges(Angel One)</t>
  </si>
  <si>
    <t>Total Charges(Angel One)</t>
  </si>
  <si>
    <t>Final Net(Angel One)</t>
  </si>
  <si>
    <t>Sell Algo(Mummy)</t>
  </si>
  <si>
    <t>Brokerage(Mummy)</t>
  </si>
  <si>
    <t>Other charge</t>
  </si>
  <si>
    <t>Final Net(Finvasia)</t>
  </si>
  <si>
    <t>Total Charge(finvasia)</t>
  </si>
  <si>
    <t>Algos</t>
  </si>
  <si>
    <t>algo charges</t>
  </si>
  <si>
    <t>Charges</t>
  </si>
  <si>
    <t>Profit</t>
  </si>
  <si>
    <t>Overall</t>
  </si>
  <si>
    <t>DD</t>
  </si>
  <si>
    <t>50 Avg Profit</t>
  </si>
  <si>
    <t>100 Avg Profit</t>
  </si>
  <si>
    <t>100 Avg Charge</t>
  </si>
  <si>
    <t>Charge/Profit Ratio</t>
  </si>
  <si>
    <t>Capital</t>
  </si>
  <si>
    <t>100 D Avg Capital</t>
  </si>
  <si>
    <t>Profit/Capital Ratio(bps)</t>
  </si>
  <si>
    <t>Tuesday</t>
  </si>
  <si>
    <t>Wednesday</t>
  </si>
  <si>
    <t>Thursday</t>
  </si>
  <si>
    <t>Friday</t>
  </si>
  <si>
    <t>Monday</t>
  </si>
  <si>
    <t>N/A</t>
  </si>
  <si>
    <t>28 Apr 25</t>
  </si>
  <si>
    <t>29 Apr 25</t>
  </si>
  <si>
    <t>30 Apr 25</t>
  </si>
  <si>
    <t>2 May 25</t>
  </si>
  <si>
    <t>5 May 25</t>
  </si>
  <si>
    <t>6 May 25</t>
  </si>
  <si>
    <t>7 May 25</t>
  </si>
  <si>
    <t>8 May 25</t>
  </si>
  <si>
    <t>9 May 25</t>
  </si>
  <si>
    <t>12 May 25</t>
  </si>
  <si>
    <t>13 May 25</t>
  </si>
  <si>
    <t>14 May 25</t>
  </si>
  <si>
    <t>15 May 25</t>
  </si>
  <si>
    <t>16 May 25</t>
  </si>
  <si>
    <t>19 May 25</t>
  </si>
  <si>
    <t>20 May 25</t>
  </si>
  <si>
    <t>21 May 25</t>
  </si>
  <si>
    <t>22 May 25</t>
  </si>
  <si>
    <t>23 May 25</t>
  </si>
  <si>
    <t>26 May 25</t>
  </si>
  <si>
    <t>27 May 25</t>
  </si>
  <si>
    <t>28 May 25</t>
  </si>
  <si>
    <t>29 May 25</t>
  </si>
  <si>
    <t>30 May 25</t>
  </si>
  <si>
    <t>2 Jun 25</t>
  </si>
  <si>
    <t>3 Jun 25</t>
  </si>
  <si>
    <t>4 Jun 25</t>
  </si>
  <si>
    <t>5 Jun 25</t>
  </si>
  <si>
    <t>6 Jun 25</t>
  </si>
  <si>
    <t>9 Jun 25</t>
  </si>
  <si>
    <t>10 Jun 25</t>
  </si>
  <si>
    <t>11 Jun 25</t>
  </si>
  <si>
    <t>12 Jun 25</t>
  </si>
  <si>
    <t>13 Jun 25</t>
  </si>
  <si>
    <t>16 Jun 25</t>
  </si>
  <si>
    <t>17 Jun 25</t>
  </si>
  <si>
    <t>18 Jun 25</t>
  </si>
  <si>
    <t>19 Jun 25</t>
  </si>
  <si>
    <t>20 Jun 25</t>
  </si>
  <si>
    <t>23 Jun 25</t>
  </si>
  <si>
    <t>24 Jun 25</t>
  </si>
  <si>
    <t>25 Jun 25</t>
  </si>
  <si>
    <t>26 Jun 25</t>
  </si>
  <si>
    <t>27 Jun 25</t>
  </si>
  <si>
    <t>30 Jun 25</t>
  </si>
  <si>
    <t>1 Jul 25</t>
  </si>
  <si>
    <t>2 Jul 25</t>
  </si>
  <si>
    <t>3 Jul 25</t>
  </si>
  <si>
    <t>4 Jul 25</t>
  </si>
  <si>
    <t>7 Jul 25</t>
  </si>
  <si>
    <t>8 Jul 25</t>
  </si>
  <si>
    <t>9 Jul 25</t>
  </si>
  <si>
    <t>10 Jul 25</t>
  </si>
  <si>
    <t>14 Jul 25</t>
  </si>
  <si>
    <t>15 Jul 25</t>
  </si>
  <si>
    <t>16 Jul 25</t>
  </si>
  <si>
    <t>17 Jul 25</t>
  </si>
  <si>
    <t>18 Jul 25</t>
  </si>
  <si>
    <t>21 Jul 25</t>
  </si>
  <si>
    <t>22 Jul 25</t>
  </si>
  <si>
    <t>23 Jul 25</t>
  </si>
  <si>
    <t>24 Jul 25</t>
  </si>
  <si>
    <t>25 Jul 25</t>
  </si>
  <si>
    <t>28 Jul 25</t>
  </si>
  <si>
    <t>29 Jul 25</t>
  </si>
  <si>
    <t>30 Jul 25</t>
  </si>
  <si>
    <t>31 Jul 25</t>
  </si>
  <si>
    <t>1 Aug 25</t>
  </si>
  <si>
    <t>4 Aug 25</t>
  </si>
  <si>
    <t>5 Aug 25</t>
  </si>
  <si>
    <t>6 Aug 25</t>
  </si>
  <si>
    <t>7 Aug 25</t>
  </si>
  <si>
    <t>8 Aug 25</t>
  </si>
  <si>
    <t>11 Aug 25</t>
  </si>
  <si>
    <t>12 Aug 25</t>
  </si>
  <si>
    <t>13 Aug 25</t>
  </si>
  <si>
    <t>14 Aug 25</t>
  </si>
  <si>
    <t>18 Aug 25</t>
  </si>
  <si>
    <t>19 Aug 25</t>
  </si>
  <si>
    <t>20 Aug 25</t>
  </si>
  <si>
    <t>21 Aug 25</t>
  </si>
  <si>
    <t>22 Aug 25</t>
  </si>
  <si>
    <t>25 Aug 25</t>
  </si>
  <si>
    <t>26 Aug 25</t>
  </si>
  <si>
    <t>28 Aug 25</t>
  </si>
  <si>
    <t>29 Aug 25</t>
  </si>
  <si>
    <t>1 Sept 25</t>
  </si>
  <si>
    <t>2 Sept 25</t>
  </si>
  <si>
    <t>3 Sept 25</t>
  </si>
  <si>
    <t>4 Sept 25</t>
  </si>
  <si>
    <t>5 Sept 25</t>
  </si>
  <si>
    <t>8 Sept 25</t>
  </si>
  <si>
    <t>9 Sept 25</t>
  </si>
  <si>
    <t>10 Sept 25</t>
  </si>
  <si>
    <t>11 Sept 25</t>
  </si>
  <si>
    <t>12 Sept 25</t>
  </si>
  <si>
    <t>15 Sept 25</t>
  </si>
  <si>
    <t>16 Sept 25</t>
  </si>
  <si>
    <t>17 Sept 25</t>
  </si>
  <si>
    <t>18 Sept 25</t>
  </si>
  <si>
    <t>19 Sept 25</t>
  </si>
  <si>
    <t>22 Sept 25</t>
  </si>
  <si>
    <t>23 Sept 25</t>
  </si>
  <si>
    <t>24 Sept 25</t>
  </si>
  <si>
    <t>25 Sept 25</t>
  </si>
  <si>
    <t>26 Sept 25</t>
  </si>
  <si>
    <t>29 Sept 25</t>
  </si>
  <si>
    <t>30 Sept 25</t>
  </si>
  <si>
    <t>1 Oct 25</t>
  </si>
  <si>
    <t>3 Oct 25</t>
  </si>
  <si>
    <t>6 Oct 25</t>
  </si>
  <si>
    <t>7 Oct 25</t>
  </si>
  <si>
    <t>8 Oct 25</t>
  </si>
  <si>
    <t>9 Oct 25</t>
  </si>
  <si>
    <t>10 Oct 25</t>
  </si>
  <si>
    <t>13 Oct 25</t>
  </si>
  <si>
    <t>14 Oct 25</t>
  </si>
  <si>
    <t>15 Oct 25</t>
  </si>
  <si>
    <t>16 Oct 25</t>
  </si>
  <si>
    <t>17 Oct 25</t>
  </si>
  <si>
    <t>20 Oct 25</t>
  </si>
  <si>
    <t>21 Oct 25</t>
  </si>
  <si>
    <t>23 Oct 25</t>
  </si>
  <si>
    <t>24 Oct 25</t>
  </si>
  <si>
    <t>27 Oct 25</t>
  </si>
  <si>
    <t>28 Oct 25</t>
  </si>
  <si>
    <t>29 Oct 25</t>
  </si>
  <si>
    <t>30 Oct 25</t>
  </si>
  <si>
    <t>31 Oct 25</t>
  </si>
  <si>
    <t>3 Nov 25</t>
  </si>
  <si>
    <t>4 Nov 25</t>
  </si>
  <si>
    <t>6 Nov 25</t>
  </si>
  <si>
    <t>7 Nov 25</t>
  </si>
  <si>
    <t>10 Nov 25</t>
  </si>
  <si>
    <t>11 Nov 25</t>
  </si>
  <si>
    <t>12 Nov 25</t>
  </si>
  <si>
    <t>13 Nov 25</t>
  </si>
  <si>
    <t>14 Nov 25</t>
  </si>
  <si>
    <t>17 Nov 25</t>
  </si>
  <si>
    <t>18 Nov 25</t>
  </si>
  <si>
    <t>19 Nov 25</t>
  </si>
  <si>
    <t>20 Nov 25</t>
  </si>
  <si>
    <t>21 Nov 25</t>
  </si>
  <si>
    <t>24 Nov 25</t>
  </si>
  <si>
    <t>25 Nov 25</t>
  </si>
  <si>
    <t>26 Nov 25</t>
  </si>
  <si>
    <t>27 Nov 25</t>
  </si>
  <si>
    <t>28 Nov 25</t>
  </si>
  <si>
    <t>1 Dec 25</t>
  </si>
  <si>
    <t>2 Dec 25</t>
  </si>
  <si>
    <t>3 Dec 25</t>
  </si>
  <si>
    <t>4 Dec 25</t>
  </si>
  <si>
    <t>5 Dec 25</t>
  </si>
  <si>
    <t>8 Dec 25</t>
  </si>
  <si>
    <t>9 Dec 25</t>
  </si>
  <si>
    <t>10 Dec 25</t>
  </si>
  <si>
    <t>11 Dec 25</t>
  </si>
  <si>
    <t>12 Dec 25</t>
  </si>
  <si>
    <t>15 Dec 25</t>
  </si>
  <si>
    <t>16 Dec 25</t>
  </si>
  <si>
    <t>17 Dec 25</t>
  </si>
  <si>
    <t>18 Dec 25</t>
  </si>
  <si>
    <t>19 Dec 25</t>
  </si>
  <si>
    <t>22 Dec 25</t>
  </si>
  <si>
    <t>23 Dec 25</t>
  </si>
  <si>
    <t>24 Dec 25</t>
  </si>
  <si>
    <t>26 Dec 25</t>
  </si>
  <si>
    <t>29 Dec 25</t>
  </si>
  <si>
    <t>30 Dec 25</t>
  </si>
  <si>
    <t>31 Dec 25</t>
  </si>
  <si>
    <t>1 Jan 26</t>
  </si>
  <si>
    <t>2 Jan 26</t>
  </si>
  <si>
    <t>5 Jan 26</t>
  </si>
  <si>
    <t>6 Jan 26</t>
  </si>
  <si>
    <t>7 Jan 26</t>
  </si>
  <si>
    <t>8 Jan 26</t>
  </si>
  <si>
    <t>9 Jan 26</t>
  </si>
  <si>
    <t>12 Jan 26</t>
  </si>
  <si>
    <t>13 Jan 26</t>
  </si>
  <si>
    <t>14 Jan 26</t>
  </si>
  <si>
    <t>16 Jan 26</t>
  </si>
  <si>
    <t>19 Jan 26</t>
  </si>
  <si>
    <t>20 Jan 26</t>
  </si>
  <si>
    <t>21 Jan 26</t>
  </si>
  <si>
    <t>22 Jan 26</t>
  </si>
  <si>
    <t>23 Jan 26</t>
  </si>
  <si>
    <t>27 Jan 26</t>
  </si>
  <si>
    <t>28 Jan 26</t>
  </si>
  <si>
    <t>29 Jan 26</t>
  </si>
  <si>
    <t>30 Jan 26</t>
  </si>
  <si>
    <t>Sunday</t>
  </si>
  <si>
    <t>1 Feb 26</t>
  </si>
  <si>
    <t>2 Feb 26</t>
  </si>
  <si>
    <t>3 Feb 26</t>
  </si>
  <si>
    <t>4 Feb 26</t>
  </si>
  <si>
    <t>5 Feb 26</t>
  </si>
  <si>
    <t>6 Feb 26</t>
  </si>
  <si>
    <t>9 Feb 26</t>
  </si>
  <si>
    <t>10 Feb 26</t>
  </si>
  <si>
    <t>11 Feb 26</t>
  </si>
  <si>
    <t>12 Feb 26</t>
  </si>
  <si>
    <t>13 Feb 26</t>
  </si>
  <si>
    <t>16 Feb 26</t>
  </si>
  <si>
    <t>17 Feb 26</t>
  </si>
  <si>
    <t>18 Feb 26</t>
  </si>
  <si>
    <t>19 Feb 26</t>
  </si>
  <si>
    <t>20 Feb 26</t>
  </si>
  <si>
    <t>23 Feb 26</t>
  </si>
  <si>
    <t>24 Feb 26</t>
  </si>
  <si>
    <t>25 Feb 26</t>
  </si>
  <si>
    <t>26 Feb 26</t>
  </si>
  <si>
    <t>27 Feb 26</t>
  </si>
  <si>
    <t>2 Mar 26</t>
  </si>
  <si>
    <t>4 Mar 26</t>
  </si>
  <si>
    <t>5 Mar 26</t>
  </si>
  <si>
    <t>6 Mar 26</t>
  </si>
  <si>
    <t>9 Mar 26</t>
  </si>
  <si>
    <t>10 Mar 26</t>
  </si>
  <si>
    <t>11 Mar 26</t>
  </si>
  <si>
    <t>12 Mar 26</t>
  </si>
  <si>
    <t>13 Mar 26</t>
  </si>
  <si>
    <t>16 Mar 26</t>
  </si>
  <si>
    <t>17 Mar 26</t>
  </si>
  <si>
    <t>18 Mar 26</t>
  </si>
  <si>
    <t>19 Mar 26</t>
  </si>
  <si>
    <t>20 Mar 26</t>
  </si>
  <si>
    <t>23 Mar 26</t>
  </si>
  <si>
    <t>24 Mar 26</t>
  </si>
  <si>
    <t>25 Mar 26</t>
  </si>
  <si>
    <t>27 Mar 26</t>
  </si>
  <si>
    <t>30 Mar 26</t>
  </si>
  <si>
    <t>1 Apr 26</t>
  </si>
  <si>
    <t>2 Apr 26</t>
  </si>
  <si>
    <t>6 Apr 26</t>
  </si>
  <si>
    <t>7 Apr 26</t>
  </si>
  <si>
    <t>8 Apr 26</t>
  </si>
  <si>
    <t>9 Apr 26</t>
  </si>
  <si>
    <t>10 Apr 26</t>
  </si>
  <si>
    <t>13 Apr 26</t>
  </si>
  <si>
    <t>15 Apr 26</t>
  </si>
  <si>
    <t>16 Apr 26</t>
  </si>
  <si>
    <t>17 Apr 26</t>
  </si>
  <si>
    <t>20 Apr 26</t>
  </si>
  <si>
    <t>21 Apr 26</t>
  </si>
  <si>
    <t>22 Apr 26</t>
  </si>
  <si>
    <t>23 Apr 26</t>
  </si>
  <si>
    <t>24 Apr 26</t>
  </si>
  <si>
    <t>28 Apr 26</t>
  </si>
  <si>
    <t>29 Apr 26</t>
  </si>
  <si>
    <t>30 Apr 26</t>
  </si>
  <si>
    <t>4 May 26</t>
  </si>
  <si>
    <t>5 May 26</t>
  </si>
  <si>
    <t>6 May 26</t>
  </si>
  <si>
    <t>7 May 26</t>
  </si>
  <si>
    <t>8 May 26</t>
  </si>
  <si>
    <t>11 May 26</t>
  </si>
  <si>
    <t>12 May 26</t>
  </si>
  <si>
    <t>13 May 26</t>
  </si>
  <si>
    <t>14 May 26</t>
  </si>
  <si>
    <t>15 May 26</t>
  </si>
  <si>
    <t>18 May 26</t>
  </si>
  <si>
    <t>19 May 26</t>
  </si>
  <si>
    <t>20 May 26</t>
  </si>
  <si>
    <t>21 May 26</t>
  </si>
  <si>
    <t>22 May 26</t>
  </si>
  <si>
    <t>25 May 26</t>
  </si>
  <si>
    <t>26 May 26</t>
  </si>
  <si>
    <t>Total</t>
  </si>
  <si>
    <t>SUM</t>
  </si>
  <si>
    <t>Liquid bees</t>
  </si>
  <si>
    <t>Trades</t>
  </si>
  <si>
    <t>Invested</t>
  </si>
  <si>
    <t>Avg</t>
  </si>
  <si>
    <t>Pre Trade 
Profit</t>
  </si>
  <si>
    <t>Pre Investment
Profit</t>
  </si>
  <si>
    <t>Previous Profit</t>
  </si>
  <si>
    <t>Current balance</t>
  </si>
  <si>
    <t xml:space="preserve">  </t>
  </si>
  <si>
    <t>Booked Profit</t>
  </si>
  <si>
    <t>Add. Liq Bees</t>
  </si>
  <si>
    <t>Asset 
appreciation</t>
  </si>
  <si>
    <t>Trading Profit</t>
  </si>
  <si>
    <t xml:space="preserve"> </t>
  </si>
  <si>
    <t>Profit since 
Oct 25, 2025</t>
  </si>
  <si>
    <t>Trading Profit(%)</t>
  </si>
  <si>
    <t>Current Capital</t>
  </si>
  <si>
    <t>MDD</t>
  </si>
  <si>
    <t>MDD Days</t>
  </si>
  <si>
    <t>MDD (in %)</t>
  </si>
  <si>
    <t>Total win</t>
  </si>
  <si>
    <t>Total losing</t>
  </si>
  <si>
    <t>Win %</t>
  </si>
  <si>
    <t>Avg Profit 
in win day</t>
  </si>
  <si>
    <t>Avg Loss 
in loss days</t>
  </si>
  <si>
    <t>Avg Day Profit</t>
  </si>
  <si>
    <t>Profit percentage</t>
  </si>
  <si>
    <t>Risk Taking Capital</t>
  </si>
  <si>
    <t>Monthly Gain</t>
  </si>
  <si>
    <t>Trading Gain</t>
  </si>
  <si>
    <t>Trading gain in%</t>
  </si>
  <si>
    <t>Trading gain Avg 3 mnth</t>
  </si>
  <si>
    <t>Average</t>
  </si>
  <si>
    <t>Percentage Trading gain 
in current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</si>
</sst>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&quot;Google Sans Mono&quot;"/>
    </font>
    <font>
      <b/>
      <color theme="1"/>
      <name val="Calibri"/>
      <scheme val="minor"/>
    </font>
    <font>
      <b/>
      <sz val="9.0"/>
      <color rgb="FF000000"/>
      <name val="&quot;Google Sans Mono&quot;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5EEE2"/>
        <bgColor rgb="FFD5EEE2"/>
      </patternFill>
    </fill>
    <fill>
      <patternFill patternType="solid">
        <fgColor rgb="FF5BBD8D"/>
        <bgColor rgb="FF5BBD8D"/>
      </patternFill>
    </fill>
    <fill>
      <patternFill patternType="solid">
        <fgColor rgb="FFF3C4C0"/>
        <bgColor rgb="FFF3C4C0"/>
      </patternFill>
    </fill>
    <fill>
      <patternFill patternType="solid">
        <fgColor rgb="FFD0CECE"/>
        <bgColor rgb="FFD0CECE"/>
      </patternFill>
    </fill>
    <fill>
      <patternFill patternType="solid">
        <fgColor rgb="FFB7B7B7"/>
        <bgColor rgb="FFB7B7B7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2" fillId="2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2" numFmtId="15" xfId="0" applyAlignment="1" applyBorder="1" applyFont="1" applyNumberForma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ill="1" applyFont="1">
      <alignment horizontal="center" readingOrder="0" shrinkToFit="0" vertical="bottom" wrapText="0"/>
    </xf>
    <xf borderId="0" fillId="2" fontId="2" numFmtId="0" xfId="0" applyAlignment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Border="1" applyFont="1"/>
    <xf borderId="3" fillId="3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4" fillId="3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readingOrder="0" vertical="bottom"/>
    </xf>
    <xf quotePrefix="1" borderId="5" fillId="3" fontId="2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readingOrder="0" vertical="bottom"/>
    </xf>
    <xf borderId="3" fillId="4" fontId="2" numFmtId="0" xfId="0" applyAlignment="1" applyBorder="1" applyFill="1" applyFont="1">
      <alignment horizontal="center" readingOrder="0" vertical="bottom"/>
    </xf>
    <xf borderId="3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3" fontId="2" numFmtId="0" xfId="0" applyAlignment="1" applyFont="1">
      <alignment vertical="bottom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4" fillId="3" fontId="2" numFmtId="0" xfId="0" applyAlignment="1" applyBorder="1" applyFont="1">
      <alignment horizontal="center" readingOrder="0" vertical="bottom"/>
    </xf>
    <xf borderId="5" fillId="3" fontId="2" numFmtId="15" xfId="0" applyAlignment="1" applyBorder="1" applyFont="1" applyNumberFormat="1">
      <alignment horizontal="center" readingOrder="0" vertical="bottom"/>
    </xf>
    <xf borderId="3" fillId="3" fontId="2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/>
    </xf>
    <xf borderId="2" fillId="7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0" fillId="2" fontId="2" numFmtId="0" xfId="0" applyFont="1"/>
    <xf borderId="2" fillId="0" fontId="2" numFmtId="0" xfId="0" applyAlignment="1" applyBorder="1" applyFont="1">
      <alignment horizontal="center"/>
    </xf>
    <xf borderId="0" fillId="3" fontId="4" numFmtId="0" xfId="0" applyAlignment="1" applyFont="1">
      <alignment horizontal="center"/>
    </xf>
    <xf borderId="2" fillId="0" fontId="2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2" fillId="8" fontId="1" numFmtId="4" xfId="0" applyAlignment="1" applyBorder="1" applyFill="1" applyFont="1" applyNumberFormat="1">
      <alignment horizontal="center"/>
    </xf>
    <xf borderId="2" fillId="7" fontId="1" numFmtId="0" xfId="0" applyAlignment="1" applyBorder="1" applyFont="1">
      <alignment horizontal="center" readingOrder="0"/>
    </xf>
    <xf borderId="2" fillId="8" fontId="1" numFmtId="0" xfId="0" applyAlignment="1" applyBorder="1" applyFont="1">
      <alignment horizontal="center" readingOrder="0"/>
    </xf>
    <xf borderId="0" fillId="7" fontId="1" numFmtId="0" xfId="0" applyAlignment="1" applyFont="1">
      <alignment horizontal="center" readingOrder="0"/>
    </xf>
    <xf borderId="2" fillId="2" fontId="2" numFmtId="164" xfId="0" applyAlignment="1" applyBorder="1" applyFont="1" applyNumberFormat="1">
      <alignment horizontal="center" readingOrder="0"/>
    </xf>
    <xf borderId="2" fillId="2" fontId="2" numFmtId="0" xfId="0" applyAlignment="1" applyBorder="1" applyFont="1">
      <alignment horizontal="center" readingOrder="0"/>
    </xf>
    <xf borderId="0" fillId="7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de Boo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chartsheet" Target="chartsheets/sheet5.xml"/><Relationship Id="rId10" Type="http://schemas.openxmlformats.org/officeDocument/2006/relationships/chartsheet" Target="chartsheets/sheet4.xml"/><Relationship Id="rId12" Type="http://schemas.openxmlformats.org/officeDocument/2006/relationships/worksheet" Target="worksheets/sheet3.xml"/><Relationship Id="rId9" Type="http://schemas.openxmlformats.org/officeDocument/2006/relationships/chartsheet" Target="chart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'Trade Book'!$R$1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'Trade Book'!$C$2:$C$289</c:f>
            </c:strRef>
          </c:cat>
          <c:val>
            <c:numRef>
              <c:f>'Trade Book'!$R$2:$R$289</c:f>
              <c:numCache/>
            </c:numRef>
          </c:val>
          <c:smooth val="0"/>
        </c:ser>
        <c:axId val="2083254295"/>
        <c:axId val="458877238"/>
      </c:lineChart>
      <c:catAx>
        <c:axId val="2083254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877238"/>
      </c:catAx>
      <c:valAx>
        <c:axId val="458877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254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Moving Average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'Trade Book'!$T$101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'Trade Book'!$C$102:$C$289</c:f>
            </c:strRef>
          </c:cat>
          <c:val>
            <c:numRef>
              <c:f>'Trade Book'!$T$102:$T$289</c:f>
              <c:numCache/>
            </c:numRef>
          </c:val>
          <c:smooth val="0"/>
        </c:ser>
        <c:axId val="2121853386"/>
        <c:axId val="661136828"/>
      </c:lineChart>
      <c:catAx>
        <c:axId val="2121853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136828"/>
      </c:catAx>
      <c:valAx>
        <c:axId val="661136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853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'Trade Book'!$V$101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'Trade Book'!$C$102:$C$289</c:f>
            </c:strRef>
          </c:cat>
          <c:val>
            <c:numRef>
              <c:f>'Trade Book'!$V$102:$V$289</c:f>
              <c:numCache/>
            </c:numRef>
          </c:val>
          <c:smooth val="0"/>
        </c:ser>
        <c:axId val="2138824739"/>
        <c:axId val="1452994312"/>
      </c:lineChart>
      <c:catAx>
        <c:axId val="2138824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994312"/>
      </c:catAx>
      <c:valAx>
        <c:axId val="1452994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824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'Trade Book'!$W$101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'Trade Book'!$C$102:$C$289</c:f>
            </c:strRef>
          </c:cat>
          <c:val>
            <c:numRef>
              <c:f>'Trade Book'!$W$102:$W$289</c:f>
              <c:numCache/>
            </c:numRef>
          </c:val>
          <c:smooth val="0"/>
        </c:ser>
        <c:axId val="615964271"/>
        <c:axId val="1423367039"/>
      </c:lineChart>
      <c:catAx>
        <c:axId val="61596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367039"/>
      </c:catAx>
      <c:valAx>
        <c:axId val="1423367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964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'Trade Book'!$Z$101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'Trade Book'!$C$102:$C$289</c:f>
            </c:strRef>
          </c:cat>
          <c:val>
            <c:numRef>
              <c:f>'Trade Book'!$Z$102:$Z$289</c:f>
              <c:numCache/>
            </c:numRef>
          </c:val>
          <c:smooth val="0"/>
        </c:ser>
        <c:axId val="1836224058"/>
        <c:axId val="83350205"/>
      </c:lineChart>
      <c:catAx>
        <c:axId val="1836224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50205"/>
      </c:catAx>
      <c:valAx>
        <c:axId val="83350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224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77188756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0" displayName="Table1" name="Table1" id="1">
  <tableColumns count="26">
    <tableColumn name="No" id="1"/>
    <tableColumn name="Day" id="2"/>
    <tableColumn name="Date" id="3"/>
    <tableColumn name="Sell Algo(Angel One)" id="4"/>
    <tableColumn name="Brokerage(Angel One)" id="5"/>
    <tableColumn name="Other Charges(Angel One)" id="6"/>
    <tableColumn name="Total Charges(Angel One)" id="7"/>
    <tableColumn name="Final Net(Angel One)" id="8"/>
    <tableColumn name="Sell Algo(Mummy)" id="9"/>
    <tableColumn name="Brokerage(Mummy)" id="10"/>
    <tableColumn name="Other charge" id="11"/>
    <tableColumn name="Final Net(Finvasia)" id="12"/>
    <tableColumn name="Total Charge(finvasia)" id="13"/>
    <tableColumn name="Algos" id="14"/>
    <tableColumn name="algo charges" id="15"/>
    <tableColumn name="Charges" id="16"/>
    <tableColumn name="Profit" id="17"/>
    <tableColumn name="Overall" id="18"/>
    <tableColumn name="DD" id="19"/>
    <tableColumn name="50 Avg Profit" id="20"/>
    <tableColumn name="100 Avg Profit" id="21"/>
    <tableColumn name="100 Avg Charge" id="22"/>
    <tableColumn name="Charge/Profit Ratio" id="23"/>
    <tableColumn name="Capital" id="24"/>
    <tableColumn name="100 D Avg Capital" id="25"/>
    <tableColumn name="Profit/Capital Ratio(bps)" id="26"/>
  </tableColumns>
  <tableStyleInfo name="Trade Bo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7.43"/>
    <col customWidth="1" min="2" max="2" width="16.71"/>
    <col customWidth="1" min="3" max="3" width="14.14"/>
    <col customWidth="1" min="4" max="4" width="34.0"/>
    <col customWidth="1" min="5" max="5" width="27.0"/>
    <col customWidth="1" min="6" max="6" width="28.29"/>
    <col customWidth="1" min="7" max="7" width="30.57"/>
    <col customWidth="1" min="8" max="8" width="34.86"/>
    <col customWidth="1" min="9" max="9" width="21.71"/>
    <col customWidth="1" min="10" max="13" width="20.86"/>
    <col customWidth="1" min="14" max="14" width="14.71"/>
    <col customWidth="1" min="15" max="15" width="22.14"/>
    <col customWidth="1" min="16" max="16" width="16.86"/>
    <col customWidth="1" min="17" max="17" width="11.14"/>
    <col customWidth="1" min="18" max="18" width="16.14"/>
    <col customWidth="1" min="19" max="19" width="15.0"/>
    <col customWidth="1" min="21" max="21" width="17.0"/>
    <col customWidth="1" min="23" max="23" width="24.57"/>
    <col customWidth="1" min="26" max="26" width="25.14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/>
      <c r="AB1" s="5"/>
      <c r="AC1" s="5"/>
      <c r="AD1" s="5"/>
      <c r="AE1" s="5"/>
      <c r="AF1" s="5"/>
      <c r="AG1" s="5"/>
      <c r="AH1" s="5"/>
      <c r="AI1" s="5"/>
      <c r="AJ1" s="6"/>
      <c r="AK1" s="6"/>
      <c r="AL1" s="6"/>
    </row>
    <row r="2" ht="14.25" customHeight="1">
      <c r="A2" s="7"/>
      <c r="B2" s="8"/>
      <c r="C2" s="9"/>
      <c r="D2" s="10"/>
      <c r="E2" s="10"/>
      <c r="F2" s="10"/>
      <c r="G2" s="10"/>
      <c r="H2" s="10"/>
      <c r="I2" s="10"/>
      <c r="J2" s="10"/>
      <c r="K2" s="11"/>
      <c r="L2" s="11"/>
      <c r="M2" s="11"/>
      <c r="N2" s="12"/>
      <c r="O2" s="12"/>
      <c r="P2" s="7"/>
      <c r="Q2" s="7"/>
      <c r="R2" s="10">
        <v>0.0</v>
      </c>
      <c r="S2" s="12">
        <v>0.0</v>
      </c>
      <c r="T2" s="13"/>
      <c r="U2" s="14"/>
      <c r="V2" s="14"/>
      <c r="W2" s="14"/>
      <c r="X2" s="15">
        <v>1200000.0</v>
      </c>
      <c r="Y2" s="14"/>
      <c r="Z2" s="14"/>
      <c r="AA2" s="16"/>
      <c r="AB2" s="16"/>
      <c r="AC2" s="16"/>
      <c r="AD2" s="16"/>
      <c r="AE2" s="16"/>
      <c r="AF2" s="16"/>
      <c r="AG2" s="16"/>
      <c r="AH2" s="16"/>
      <c r="AI2" s="16"/>
    </row>
    <row r="3" ht="14.25" customHeight="1">
      <c r="A3" s="7">
        <v>1.0</v>
      </c>
      <c r="B3" s="8" t="s">
        <v>26</v>
      </c>
      <c r="C3" s="9">
        <v>45748.0</v>
      </c>
      <c r="D3" s="10"/>
      <c r="E3" s="10"/>
      <c r="F3" s="10"/>
      <c r="G3" s="10"/>
      <c r="H3" s="10"/>
      <c r="I3" s="10">
        <f>10441-12512</f>
        <v>-2071</v>
      </c>
      <c r="J3" s="10">
        <v>1750.0</v>
      </c>
      <c r="K3" s="11"/>
      <c r="L3" s="11"/>
      <c r="M3" s="11"/>
      <c r="N3" s="12">
        <v>17.0</v>
      </c>
      <c r="O3" s="12">
        <f t="shared" ref="O3:O288" si="1"> ROUNDUP((N3 - 3)*12.5 + 62.5,0)</f>
        <v>238</v>
      </c>
      <c r="P3" s="7">
        <f t="shared" ref="P3:P20" si="2">J3+O3</f>
        <v>1988</v>
      </c>
      <c r="Q3" s="7">
        <f t="shared" ref="Q3:Q20" si="3">IF(I3 = "N/A","",SUM(I3)-P3)</f>
        <v>-4059</v>
      </c>
      <c r="R3" s="7">
        <f t="shared" ref="R3:R288" si="4">R2+Q3</f>
        <v>-4059</v>
      </c>
      <c r="S3" s="17">
        <f t="shared" ref="S3:S16" si="5">IF(I3 = "N/A","0",R3-MAX($R$1:R3))</f>
        <v>-4059</v>
      </c>
      <c r="T3" s="13"/>
      <c r="U3" s="14"/>
      <c r="V3" s="14"/>
      <c r="W3" s="14"/>
      <c r="X3" s="15">
        <v>1200000.0</v>
      </c>
      <c r="Y3" s="14"/>
      <c r="Z3" s="14"/>
      <c r="AA3" s="16"/>
      <c r="AB3" s="16"/>
      <c r="AC3" s="16"/>
      <c r="AD3" s="16"/>
      <c r="AE3" s="16"/>
      <c r="AF3" s="16"/>
      <c r="AG3" s="16"/>
      <c r="AH3" s="16"/>
      <c r="AI3" s="16"/>
    </row>
    <row r="4" ht="14.25" customHeight="1">
      <c r="A4" s="7">
        <f t="shared" ref="A4:A20" si="6">A3+1</f>
        <v>2</v>
      </c>
      <c r="B4" s="8" t="s">
        <v>27</v>
      </c>
      <c r="C4" s="9">
        <v>45749.0</v>
      </c>
      <c r="D4" s="10"/>
      <c r="E4" s="10"/>
      <c r="F4" s="10"/>
      <c r="G4" s="10"/>
      <c r="H4" s="10"/>
      <c r="I4" s="10">
        <v>6518.0</v>
      </c>
      <c r="J4" s="10">
        <v>298.0</v>
      </c>
      <c r="K4" s="11"/>
      <c r="L4" s="11"/>
      <c r="M4" s="11"/>
      <c r="N4" s="12">
        <v>8.0</v>
      </c>
      <c r="O4" s="12">
        <f t="shared" si="1"/>
        <v>125</v>
      </c>
      <c r="P4" s="7">
        <f t="shared" si="2"/>
        <v>423</v>
      </c>
      <c r="Q4" s="7">
        <f t="shared" si="3"/>
        <v>6095</v>
      </c>
      <c r="R4" s="7">
        <f t="shared" si="4"/>
        <v>2036</v>
      </c>
      <c r="S4" s="17">
        <f t="shared" si="5"/>
        <v>0</v>
      </c>
      <c r="T4" s="13"/>
      <c r="U4" s="14"/>
      <c r="V4" s="14"/>
      <c r="W4" s="14"/>
      <c r="X4" s="15">
        <v>1200000.0</v>
      </c>
      <c r="Y4" s="14"/>
      <c r="Z4" s="14"/>
      <c r="AA4" s="16"/>
      <c r="AB4" s="16"/>
      <c r="AC4" s="16"/>
      <c r="AD4" s="16"/>
      <c r="AE4" s="16"/>
      <c r="AF4" s="16"/>
      <c r="AG4" s="16"/>
      <c r="AH4" s="16"/>
      <c r="AI4" s="16"/>
    </row>
    <row r="5" ht="14.25" customHeight="1">
      <c r="A5" s="7">
        <f t="shared" si="6"/>
        <v>3</v>
      </c>
      <c r="B5" s="8" t="s">
        <v>28</v>
      </c>
      <c r="C5" s="9">
        <v>45750.0</v>
      </c>
      <c r="D5" s="10"/>
      <c r="E5" s="10"/>
      <c r="F5" s="10"/>
      <c r="G5" s="10"/>
      <c r="H5" s="10"/>
      <c r="I5" s="10">
        <v>10567.0</v>
      </c>
      <c r="J5" s="18">
        <v>130.0</v>
      </c>
      <c r="K5" s="11"/>
      <c r="L5" s="11"/>
      <c r="M5" s="11"/>
      <c r="N5" s="12">
        <v>8.0</v>
      </c>
      <c r="O5" s="12">
        <f t="shared" si="1"/>
        <v>125</v>
      </c>
      <c r="P5" s="19">
        <f t="shared" si="2"/>
        <v>255</v>
      </c>
      <c r="Q5" s="19">
        <f t="shared" si="3"/>
        <v>10312</v>
      </c>
      <c r="R5" s="19">
        <f t="shared" si="4"/>
        <v>12348</v>
      </c>
      <c r="S5" s="20">
        <f t="shared" si="5"/>
        <v>0</v>
      </c>
      <c r="T5" s="13"/>
      <c r="U5" s="14"/>
      <c r="V5" s="14"/>
      <c r="W5" s="14"/>
      <c r="X5" s="15">
        <v>1200000.0</v>
      </c>
      <c r="Y5" s="14"/>
      <c r="Z5" s="14"/>
      <c r="AA5" s="16"/>
      <c r="AB5" s="16"/>
      <c r="AC5" s="16"/>
      <c r="AD5" s="16"/>
      <c r="AE5" s="16"/>
      <c r="AF5" s="16"/>
      <c r="AG5" s="16"/>
      <c r="AH5" s="16"/>
      <c r="AI5" s="16"/>
    </row>
    <row r="6" ht="14.25" customHeight="1">
      <c r="A6" s="7">
        <f t="shared" si="6"/>
        <v>4</v>
      </c>
      <c r="B6" s="8" t="s">
        <v>29</v>
      </c>
      <c r="C6" s="9">
        <v>45751.0</v>
      </c>
      <c r="D6" s="10"/>
      <c r="E6" s="10"/>
      <c r="F6" s="10"/>
      <c r="G6" s="10"/>
      <c r="H6" s="10"/>
      <c r="I6" s="10">
        <f>10281-1607</f>
        <v>8674</v>
      </c>
      <c r="J6" s="18">
        <v>310.0</v>
      </c>
      <c r="K6" s="11"/>
      <c r="L6" s="11"/>
      <c r="M6" s="11"/>
      <c r="N6" s="12">
        <v>6.0</v>
      </c>
      <c r="O6" s="12">
        <f t="shared" si="1"/>
        <v>100</v>
      </c>
      <c r="P6" s="19">
        <f t="shared" si="2"/>
        <v>410</v>
      </c>
      <c r="Q6" s="19">
        <f t="shared" si="3"/>
        <v>8264</v>
      </c>
      <c r="R6" s="19">
        <f t="shared" si="4"/>
        <v>20612</v>
      </c>
      <c r="S6" s="20">
        <f t="shared" si="5"/>
        <v>0</v>
      </c>
      <c r="T6" s="13"/>
      <c r="U6" s="14"/>
      <c r="V6" s="15"/>
      <c r="W6" s="14"/>
      <c r="X6" s="15">
        <v>1200000.0</v>
      </c>
      <c r="Y6" s="14"/>
      <c r="Z6" s="14"/>
      <c r="AA6" s="16"/>
      <c r="AB6" s="16"/>
      <c r="AC6" s="16"/>
      <c r="AD6" s="16"/>
      <c r="AE6" s="16"/>
      <c r="AF6" s="16"/>
      <c r="AG6" s="16"/>
      <c r="AH6" s="16"/>
      <c r="AI6" s="16"/>
    </row>
    <row r="7" ht="14.25" customHeight="1">
      <c r="A7" s="7">
        <f t="shared" si="6"/>
        <v>5</v>
      </c>
      <c r="B7" s="8" t="s">
        <v>30</v>
      </c>
      <c r="C7" s="9">
        <v>45754.0</v>
      </c>
      <c r="D7" s="10"/>
      <c r="E7" s="10"/>
      <c r="F7" s="10"/>
      <c r="G7" s="10"/>
      <c r="H7" s="10"/>
      <c r="I7" s="10">
        <v>442.0</v>
      </c>
      <c r="J7" s="18">
        <v>3110.0</v>
      </c>
      <c r="K7" s="11"/>
      <c r="L7" s="11"/>
      <c r="M7" s="11"/>
      <c r="N7" s="21">
        <v>14.0</v>
      </c>
      <c r="O7" s="12">
        <f t="shared" si="1"/>
        <v>200</v>
      </c>
      <c r="P7" s="19">
        <f t="shared" si="2"/>
        <v>3310</v>
      </c>
      <c r="Q7" s="19">
        <f t="shared" si="3"/>
        <v>-2868</v>
      </c>
      <c r="R7" s="19">
        <f t="shared" si="4"/>
        <v>17744</v>
      </c>
      <c r="S7" s="20">
        <f t="shared" si="5"/>
        <v>-2868</v>
      </c>
      <c r="T7" s="13"/>
      <c r="U7" s="15"/>
      <c r="V7" s="14"/>
      <c r="X7" s="15">
        <v>1200000.0</v>
      </c>
      <c r="Y7" s="14"/>
      <c r="AA7" s="16"/>
      <c r="AB7" s="16"/>
      <c r="AC7" s="16"/>
      <c r="AD7" s="16"/>
      <c r="AE7" s="16"/>
      <c r="AF7" s="16"/>
      <c r="AG7" s="16"/>
      <c r="AH7" s="16"/>
      <c r="AI7" s="16"/>
    </row>
    <row r="8" ht="14.25" customHeight="1">
      <c r="A8" s="7">
        <f t="shared" si="6"/>
        <v>6</v>
      </c>
      <c r="B8" s="8" t="s">
        <v>26</v>
      </c>
      <c r="C8" s="9">
        <v>45755.0</v>
      </c>
      <c r="D8" s="10"/>
      <c r="E8" s="10"/>
      <c r="F8" s="10"/>
      <c r="G8" s="10"/>
      <c r="H8" s="10"/>
      <c r="I8" s="10">
        <v>5773.0</v>
      </c>
      <c r="J8" s="18">
        <v>1550.0</v>
      </c>
      <c r="K8" s="11"/>
      <c r="L8" s="11"/>
      <c r="M8" s="11"/>
      <c r="N8" s="21">
        <v>15.0</v>
      </c>
      <c r="O8" s="12">
        <f t="shared" si="1"/>
        <v>213</v>
      </c>
      <c r="P8" s="19">
        <f t="shared" si="2"/>
        <v>1763</v>
      </c>
      <c r="Q8" s="19">
        <f t="shared" si="3"/>
        <v>4010</v>
      </c>
      <c r="R8" s="19">
        <f t="shared" si="4"/>
        <v>21754</v>
      </c>
      <c r="S8" s="20">
        <f t="shared" si="5"/>
        <v>0</v>
      </c>
      <c r="T8" s="13"/>
      <c r="U8" s="14"/>
      <c r="V8" s="14"/>
      <c r="W8" s="15"/>
      <c r="X8" s="15">
        <v>1200000.0</v>
      </c>
      <c r="Y8" s="14"/>
      <c r="Z8" s="15"/>
      <c r="AA8" s="16"/>
      <c r="AB8" s="16"/>
      <c r="AC8" s="16"/>
      <c r="AD8" s="16"/>
      <c r="AE8" s="16"/>
      <c r="AF8" s="16"/>
      <c r="AG8" s="16"/>
      <c r="AH8" s="16"/>
      <c r="AI8" s="16"/>
    </row>
    <row r="9" ht="14.25" customHeight="1">
      <c r="A9" s="7">
        <f t="shared" si="6"/>
        <v>7</v>
      </c>
      <c r="B9" s="8" t="s">
        <v>27</v>
      </c>
      <c r="C9" s="9">
        <v>45756.0</v>
      </c>
      <c r="D9" s="10"/>
      <c r="E9" s="10"/>
      <c r="F9" s="10"/>
      <c r="G9" s="10"/>
      <c r="H9" s="10"/>
      <c r="I9" s="10">
        <v>13822.0</v>
      </c>
      <c r="J9" s="18">
        <v>113.0</v>
      </c>
      <c r="K9" s="11"/>
      <c r="L9" s="11"/>
      <c r="M9" s="11"/>
      <c r="N9" s="21">
        <v>6.0</v>
      </c>
      <c r="O9" s="12">
        <f t="shared" si="1"/>
        <v>100</v>
      </c>
      <c r="P9" s="19">
        <f t="shared" si="2"/>
        <v>213</v>
      </c>
      <c r="Q9" s="19">
        <f t="shared" si="3"/>
        <v>13609</v>
      </c>
      <c r="R9" s="19">
        <f t="shared" si="4"/>
        <v>35363</v>
      </c>
      <c r="S9" s="20">
        <f t="shared" si="5"/>
        <v>0</v>
      </c>
      <c r="T9" s="13"/>
      <c r="U9" s="14"/>
      <c r="V9" s="14"/>
      <c r="W9" s="14"/>
      <c r="X9" s="15">
        <v>1200000.0</v>
      </c>
      <c r="Y9" s="14"/>
      <c r="Z9" s="14"/>
      <c r="AA9" s="16"/>
      <c r="AB9" s="16"/>
      <c r="AC9" s="16"/>
      <c r="AD9" s="16"/>
      <c r="AE9" s="16"/>
      <c r="AF9" s="16"/>
      <c r="AG9" s="16"/>
      <c r="AH9" s="16"/>
      <c r="AI9" s="16"/>
    </row>
    <row r="10" ht="14.25" customHeight="1">
      <c r="A10" s="7">
        <f t="shared" si="6"/>
        <v>8</v>
      </c>
      <c r="B10" s="8" t="s">
        <v>28</v>
      </c>
      <c r="C10" s="9">
        <v>45757.0</v>
      </c>
      <c r="D10" s="10"/>
      <c r="E10" s="10"/>
      <c r="F10" s="10"/>
      <c r="G10" s="10"/>
      <c r="H10" s="10"/>
      <c r="I10" s="10" t="s">
        <v>31</v>
      </c>
      <c r="J10" s="10">
        <v>0.0</v>
      </c>
      <c r="K10" s="11"/>
      <c r="L10" s="11"/>
      <c r="M10" s="11"/>
      <c r="N10" s="12">
        <v>8.0</v>
      </c>
      <c r="O10" s="12">
        <f t="shared" si="1"/>
        <v>125</v>
      </c>
      <c r="P10" s="7">
        <f t="shared" si="2"/>
        <v>125</v>
      </c>
      <c r="Q10" s="7" t="str">
        <f t="shared" si="3"/>
        <v/>
      </c>
      <c r="R10" s="19">
        <f t="shared" si="4"/>
        <v>35363</v>
      </c>
      <c r="S10" s="17" t="str">
        <f t="shared" si="5"/>
        <v>0</v>
      </c>
      <c r="T10" s="13"/>
      <c r="U10" s="14"/>
      <c r="V10" s="14"/>
      <c r="W10" s="14"/>
      <c r="X10" s="15">
        <v>1200000.0</v>
      </c>
      <c r="Y10" s="14"/>
      <c r="Z10" s="14"/>
      <c r="AA10" s="16"/>
      <c r="AB10" s="16"/>
      <c r="AC10" s="16"/>
      <c r="AD10" s="16"/>
      <c r="AE10" s="16"/>
      <c r="AF10" s="16"/>
      <c r="AG10" s="16"/>
      <c r="AH10" s="16"/>
      <c r="AI10" s="16"/>
    </row>
    <row r="11" ht="14.25" customHeight="1">
      <c r="A11" s="7">
        <f t="shared" si="6"/>
        <v>9</v>
      </c>
      <c r="B11" s="8" t="s">
        <v>29</v>
      </c>
      <c r="C11" s="9">
        <v>45758.0</v>
      </c>
      <c r="D11" s="10"/>
      <c r="E11" s="10"/>
      <c r="F11" s="10"/>
      <c r="G11" s="10"/>
      <c r="H11" s="10"/>
      <c r="I11" s="10">
        <v>6195.0</v>
      </c>
      <c r="J11" s="18">
        <v>979.0</v>
      </c>
      <c r="K11" s="11"/>
      <c r="L11" s="11"/>
      <c r="M11" s="11"/>
      <c r="N11" s="12">
        <v>8.0</v>
      </c>
      <c r="O11" s="12">
        <f t="shared" si="1"/>
        <v>125</v>
      </c>
      <c r="P11" s="19">
        <f t="shared" si="2"/>
        <v>1104</v>
      </c>
      <c r="Q11" s="19">
        <f t="shared" si="3"/>
        <v>5091</v>
      </c>
      <c r="R11" s="19">
        <f t="shared" si="4"/>
        <v>40454</v>
      </c>
      <c r="S11" s="20">
        <f t="shared" si="5"/>
        <v>0</v>
      </c>
      <c r="T11" s="13"/>
      <c r="U11" s="14"/>
      <c r="V11" s="14"/>
      <c r="W11" s="14"/>
      <c r="X11" s="15">
        <v>1200000.0</v>
      </c>
      <c r="Y11" s="14"/>
      <c r="Z11" s="14"/>
      <c r="AA11" s="16"/>
      <c r="AB11" s="16"/>
      <c r="AC11" s="16"/>
      <c r="AD11" s="16"/>
      <c r="AE11" s="16"/>
      <c r="AF11" s="16"/>
      <c r="AG11" s="16"/>
      <c r="AH11" s="16"/>
      <c r="AI11" s="16"/>
    </row>
    <row r="12" ht="14.25" customHeight="1">
      <c r="A12" s="7">
        <f t="shared" si="6"/>
        <v>10</v>
      </c>
      <c r="B12" s="8" t="s">
        <v>30</v>
      </c>
      <c r="C12" s="9">
        <v>45761.0</v>
      </c>
      <c r="D12" s="10"/>
      <c r="E12" s="10"/>
      <c r="F12" s="10"/>
      <c r="G12" s="10"/>
      <c r="H12" s="10"/>
      <c r="I12" s="10" t="s">
        <v>31</v>
      </c>
      <c r="J12" s="10">
        <v>0.0</v>
      </c>
      <c r="K12" s="11"/>
      <c r="L12" s="11"/>
      <c r="M12" s="11"/>
      <c r="N12" s="12">
        <v>8.0</v>
      </c>
      <c r="O12" s="12">
        <f t="shared" si="1"/>
        <v>125</v>
      </c>
      <c r="P12" s="7">
        <f t="shared" si="2"/>
        <v>125</v>
      </c>
      <c r="Q12" s="7" t="str">
        <f t="shared" si="3"/>
        <v/>
      </c>
      <c r="R12" s="19">
        <f t="shared" si="4"/>
        <v>40454</v>
      </c>
      <c r="S12" s="17" t="str">
        <f t="shared" si="5"/>
        <v>0</v>
      </c>
      <c r="T12" s="13"/>
      <c r="U12" s="14"/>
      <c r="V12" s="14"/>
      <c r="W12" s="14"/>
      <c r="X12" s="15">
        <v>1200000.0</v>
      </c>
      <c r="Y12" s="14"/>
      <c r="Z12" s="14"/>
      <c r="AA12" s="16"/>
      <c r="AB12" s="16"/>
      <c r="AC12" s="16"/>
      <c r="AD12" s="16"/>
      <c r="AE12" s="16"/>
      <c r="AF12" s="16"/>
      <c r="AG12" s="16"/>
      <c r="AH12" s="16"/>
      <c r="AI12" s="16"/>
    </row>
    <row r="13" ht="14.25" customHeight="1">
      <c r="A13" s="7">
        <f t="shared" si="6"/>
        <v>11</v>
      </c>
      <c r="B13" s="8" t="s">
        <v>26</v>
      </c>
      <c r="C13" s="9">
        <v>45762.0</v>
      </c>
      <c r="D13" s="10"/>
      <c r="E13" s="10"/>
      <c r="F13" s="10"/>
      <c r="G13" s="10"/>
      <c r="H13" s="10"/>
      <c r="I13" s="10">
        <v>543.0</v>
      </c>
      <c r="J13" s="18">
        <v>190.0</v>
      </c>
      <c r="K13" s="11"/>
      <c r="L13" s="11"/>
      <c r="M13" s="11"/>
      <c r="N13" s="12">
        <v>8.0</v>
      </c>
      <c r="O13" s="12">
        <f t="shared" si="1"/>
        <v>125</v>
      </c>
      <c r="P13" s="19">
        <f t="shared" si="2"/>
        <v>315</v>
      </c>
      <c r="Q13" s="19">
        <f t="shared" si="3"/>
        <v>228</v>
      </c>
      <c r="R13" s="19">
        <f t="shared" si="4"/>
        <v>40682</v>
      </c>
      <c r="S13" s="20">
        <f t="shared" si="5"/>
        <v>0</v>
      </c>
      <c r="T13" s="13"/>
      <c r="U13" s="14"/>
      <c r="V13" s="14"/>
      <c r="W13" s="14"/>
      <c r="X13" s="15">
        <v>1200000.0</v>
      </c>
      <c r="Y13" s="14"/>
      <c r="Z13" s="14"/>
      <c r="AA13" s="16"/>
      <c r="AB13" s="16"/>
      <c r="AC13" s="16"/>
      <c r="AD13" s="16"/>
      <c r="AE13" s="16"/>
      <c r="AF13" s="16"/>
      <c r="AG13" s="16"/>
      <c r="AH13" s="16"/>
      <c r="AI13" s="16"/>
    </row>
    <row r="14" ht="14.25" customHeight="1">
      <c r="A14" s="7">
        <f t="shared" si="6"/>
        <v>12</v>
      </c>
      <c r="B14" s="8" t="s">
        <v>27</v>
      </c>
      <c r="C14" s="9">
        <v>45763.0</v>
      </c>
      <c r="D14" s="10"/>
      <c r="E14" s="10"/>
      <c r="F14" s="10"/>
      <c r="G14" s="10"/>
      <c r="H14" s="10"/>
      <c r="I14" s="10">
        <f>753-726</f>
        <v>27</v>
      </c>
      <c r="J14" s="18">
        <f>30+380</f>
        <v>410</v>
      </c>
      <c r="K14" s="11"/>
      <c r="L14" s="11"/>
      <c r="M14" s="11"/>
      <c r="N14" s="12">
        <v>8.0</v>
      </c>
      <c r="O14" s="12">
        <f t="shared" si="1"/>
        <v>125</v>
      </c>
      <c r="P14" s="19">
        <f t="shared" si="2"/>
        <v>535</v>
      </c>
      <c r="Q14" s="19">
        <f t="shared" si="3"/>
        <v>-508</v>
      </c>
      <c r="R14" s="19">
        <f t="shared" si="4"/>
        <v>40174</v>
      </c>
      <c r="S14" s="20">
        <f t="shared" si="5"/>
        <v>-508</v>
      </c>
      <c r="T14" s="13"/>
      <c r="U14" s="14"/>
      <c r="V14" s="14"/>
      <c r="W14" s="14"/>
      <c r="X14" s="15">
        <v>1200000.0</v>
      </c>
      <c r="Y14" s="14"/>
      <c r="Z14" s="14"/>
      <c r="AA14" s="16"/>
      <c r="AB14" s="16"/>
      <c r="AC14" s="16"/>
      <c r="AD14" s="16"/>
      <c r="AE14" s="16"/>
      <c r="AF14" s="16"/>
      <c r="AG14" s="16"/>
      <c r="AH14" s="16"/>
      <c r="AI14" s="16"/>
    </row>
    <row r="15" ht="14.25" customHeight="1">
      <c r="A15" s="7">
        <f t="shared" si="6"/>
        <v>13</v>
      </c>
      <c r="B15" s="8" t="s">
        <v>28</v>
      </c>
      <c r="C15" s="9">
        <v>45764.0</v>
      </c>
      <c r="D15" s="10"/>
      <c r="E15" s="10"/>
      <c r="F15" s="10"/>
      <c r="G15" s="10"/>
      <c r="H15" s="10"/>
      <c r="I15" s="10">
        <v>-13000.0</v>
      </c>
      <c r="J15" s="10">
        <v>0.0</v>
      </c>
      <c r="K15" s="11"/>
      <c r="L15" s="11"/>
      <c r="M15" s="11"/>
      <c r="N15" s="21">
        <v>11.0</v>
      </c>
      <c r="O15" s="12">
        <f t="shared" si="1"/>
        <v>163</v>
      </c>
      <c r="P15" s="7">
        <f t="shared" si="2"/>
        <v>163</v>
      </c>
      <c r="Q15" s="7">
        <f t="shared" si="3"/>
        <v>-13163</v>
      </c>
      <c r="R15" s="19">
        <f t="shared" si="4"/>
        <v>27011</v>
      </c>
      <c r="S15" s="20">
        <f t="shared" si="5"/>
        <v>-13671</v>
      </c>
      <c r="T15" s="13"/>
      <c r="U15" s="14"/>
      <c r="V15" s="14"/>
      <c r="W15" s="14"/>
      <c r="X15" s="15">
        <v>1200000.0</v>
      </c>
      <c r="Y15" s="14"/>
      <c r="Z15" s="14"/>
      <c r="AA15" s="16"/>
      <c r="AB15" s="16"/>
      <c r="AC15" s="16"/>
      <c r="AD15" s="16"/>
      <c r="AE15" s="16"/>
      <c r="AF15" s="16"/>
      <c r="AG15" s="16"/>
      <c r="AH15" s="16"/>
      <c r="AI15" s="16"/>
    </row>
    <row r="16" ht="14.25" customHeight="1">
      <c r="A16" s="7">
        <f t="shared" si="6"/>
        <v>14</v>
      </c>
      <c r="B16" s="8" t="s">
        <v>29</v>
      </c>
      <c r="C16" s="9">
        <v>45765.0</v>
      </c>
      <c r="D16" s="10"/>
      <c r="E16" s="10"/>
      <c r="F16" s="10"/>
      <c r="G16" s="10"/>
      <c r="H16" s="10"/>
      <c r="I16" s="10">
        <v>5898.0</v>
      </c>
      <c r="J16" s="18">
        <v>198.0</v>
      </c>
      <c r="K16" s="11"/>
      <c r="L16" s="11"/>
      <c r="M16" s="11"/>
      <c r="N16" s="21">
        <v>14.0</v>
      </c>
      <c r="O16" s="12">
        <f t="shared" si="1"/>
        <v>200</v>
      </c>
      <c r="P16" s="19">
        <f t="shared" si="2"/>
        <v>398</v>
      </c>
      <c r="Q16" s="19">
        <f t="shared" si="3"/>
        <v>5500</v>
      </c>
      <c r="R16" s="19">
        <f t="shared" si="4"/>
        <v>32511</v>
      </c>
      <c r="S16" s="20">
        <f t="shared" si="5"/>
        <v>-8171</v>
      </c>
      <c r="T16" s="13"/>
      <c r="U16" s="14"/>
      <c r="V16" s="14"/>
      <c r="W16" s="14"/>
      <c r="X16" s="15">
        <v>1200000.0</v>
      </c>
      <c r="Y16" s="14"/>
      <c r="Z16" s="14"/>
      <c r="AA16" s="16"/>
      <c r="AB16" s="16"/>
      <c r="AC16" s="16"/>
      <c r="AD16" s="16"/>
      <c r="AE16" s="16"/>
      <c r="AF16" s="16"/>
      <c r="AG16" s="16"/>
      <c r="AH16" s="16"/>
      <c r="AI16" s="16"/>
    </row>
    <row r="17" ht="14.25" customHeight="1">
      <c r="A17" s="7">
        <f t="shared" si="6"/>
        <v>15</v>
      </c>
      <c r="B17" s="8" t="s">
        <v>30</v>
      </c>
      <c r="C17" s="9">
        <v>45768.0</v>
      </c>
      <c r="D17" s="22"/>
      <c r="E17" s="22"/>
      <c r="F17" s="22"/>
      <c r="G17" s="22"/>
      <c r="H17" s="22"/>
      <c r="I17" s="22" t="s">
        <v>31</v>
      </c>
      <c r="J17" s="18">
        <v>160.0</v>
      </c>
      <c r="K17" s="11"/>
      <c r="L17" s="11"/>
      <c r="M17" s="11"/>
      <c r="N17" s="21">
        <v>14.0</v>
      </c>
      <c r="O17" s="12">
        <f t="shared" si="1"/>
        <v>200</v>
      </c>
      <c r="P17" s="19">
        <f t="shared" si="2"/>
        <v>360</v>
      </c>
      <c r="Q17" s="7" t="str">
        <f t="shared" si="3"/>
        <v/>
      </c>
      <c r="R17" s="19">
        <f t="shared" si="4"/>
        <v>32511</v>
      </c>
      <c r="S17" s="20">
        <f t="shared" ref="S17:S19" si="7">IF(I18 = "N/A","0",R17-MAX($R$1:R17))</f>
        <v>-8171</v>
      </c>
      <c r="T17" s="13"/>
      <c r="U17" s="14"/>
      <c r="V17" s="14"/>
      <c r="W17" s="14"/>
      <c r="X17" s="15">
        <v>1200000.0</v>
      </c>
      <c r="Y17" s="14"/>
      <c r="Z17" s="14"/>
      <c r="AA17" s="16"/>
      <c r="AB17" s="16"/>
      <c r="AC17" s="16"/>
      <c r="AD17" s="16"/>
      <c r="AE17" s="16"/>
      <c r="AF17" s="16"/>
      <c r="AG17" s="16"/>
      <c r="AH17" s="16"/>
      <c r="AI17" s="16"/>
    </row>
    <row r="18" ht="14.25" customHeight="1">
      <c r="A18" s="7">
        <f t="shared" si="6"/>
        <v>16</v>
      </c>
      <c r="B18" s="8" t="s">
        <v>26</v>
      </c>
      <c r="C18" s="9">
        <v>45769.0</v>
      </c>
      <c r="D18" s="10"/>
      <c r="E18" s="10"/>
      <c r="F18" s="10"/>
      <c r="G18" s="10"/>
      <c r="H18" s="10"/>
      <c r="I18" s="10">
        <v>4581.0</v>
      </c>
      <c r="J18" s="18">
        <v>3000.0</v>
      </c>
      <c r="K18" s="11"/>
      <c r="L18" s="11"/>
      <c r="M18" s="11"/>
      <c r="N18" s="21">
        <v>14.0</v>
      </c>
      <c r="O18" s="12">
        <f t="shared" si="1"/>
        <v>200</v>
      </c>
      <c r="P18" s="19">
        <f t="shared" si="2"/>
        <v>3200</v>
      </c>
      <c r="Q18" s="19">
        <f t="shared" si="3"/>
        <v>1381</v>
      </c>
      <c r="R18" s="19">
        <f t="shared" si="4"/>
        <v>33892</v>
      </c>
      <c r="S18" s="20">
        <f t="shared" si="7"/>
        <v>-6790</v>
      </c>
      <c r="T18" s="13"/>
      <c r="U18" s="14"/>
      <c r="V18" s="14"/>
      <c r="W18" s="14"/>
      <c r="X18" s="15">
        <v>1200000.0</v>
      </c>
      <c r="Y18" s="14"/>
      <c r="Z18" s="14"/>
      <c r="AA18" s="16"/>
      <c r="AB18" s="16"/>
      <c r="AC18" s="16"/>
      <c r="AD18" s="16"/>
      <c r="AE18" s="16"/>
      <c r="AF18" s="16"/>
      <c r="AG18" s="16"/>
      <c r="AH18" s="16"/>
      <c r="AI18" s="16"/>
    </row>
    <row r="19" ht="14.25" customHeight="1">
      <c r="A19" s="7">
        <f t="shared" si="6"/>
        <v>17</v>
      </c>
      <c r="B19" s="8" t="s">
        <v>27</v>
      </c>
      <c r="C19" s="9">
        <v>45770.0</v>
      </c>
      <c r="D19" s="10"/>
      <c r="E19" s="10"/>
      <c r="F19" s="10"/>
      <c r="G19" s="10"/>
      <c r="H19" s="10"/>
      <c r="I19" s="10">
        <v>-13000.0</v>
      </c>
      <c r="J19" s="18">
        <v>1000.0</v>
      </c>
      <c r="K19" s="11"/>
      <c r="L19" s="11"/>
      <c r="M19" s="11"/>
      <c r="N19" s="21">
        <v>15.0</v>
      </c>
      <c r="O19" s="12">
        <f t="shared" si="1"/>
        <v>213</v>
      </c>
      <c r="P19" s="19">
        <f t="shared" si="2"/>
        <v>1213</v>
      </c>
      <c r="Q19" s="19">
        <f t="shared" si="3"/>
        <v>-14213</v>
      </c>
      <c r="R19" s="19">
        <f t="shared" si="4"/>
        <v>19679</v>
      </c>
      <c r="S19" s="20">
        <f t="shared" si="7"/>
        <v>-21003</v>
      </c>
      <c r="T19" s="13"/>
      <c r="U19" s="14"/>
      <c r="V19" s="14"/>
      <c r="W19" s="14"/>
      <c r="X19" s="15">
        <v>1200000.0</v>
      </c>
      <c r="Y19" s="14"/>
      <c r="Z19" s="14"/>
      <c r="AA19" s="16"/>
      <c r="AB19" s="16"/>
      <c r="AC19" s="16"/>
      <c r="AD19" s="16"/>
      <c r="AE19" s="16"/>
      <c r="AF19" s="16"/>
      <c r="AG19" s="16"/>
      <c r="AH19" s="16"/>
      <c r="AI19" s="16"/>
    </row>
    <row r="20" ht="14.25" customHeight="1">
      <c r="A20" s="7">
        <f t="shared" si="6"/>
        <v>18</v>
      </c>
      <c r="B20" s="8" t="s">
        <v>28</v>
      </c>
      <c r="C20" s="9">
        <v>45771.0</v>
      </c>
      <c r="D20" s="10"/>
      <c r="E20" s="10"/>
      <c r="F20" s="10"/>
      <c r="G20" s="10"/>
      <c r="H20" s="10"/>
      <c r="I20" s="10">
        <v>-17000.0</v>
      </c>
      <c r="J20" s="10">
        <v>0.0</v>
      </c>
      <c r="K20" s="11"/>
      <c r="L20" s="11"/>
      <c r="M20" s="11"/>
      <c r="N20" s="12">
        <v>8.0</v>
      </c>
      <c r="O20" s="12">
        <f t="shared" si="1"/>
        <v>125</v>
      </c>
      <c r="P20" s="7">
        <f t="shared" si="2"/>
        <v>125</v>
      </c>
      <c r="Q20" s="7">
        <f t="shared" si="3"/>
        <v>-17125</v>
      </c>
      <c r="R20" s="19">
        <f t="shared" si="4"/>
        <v>2554</v>
      </c>
      <c r="S20" s="20">
        <f t="shared" ref="S20:S44" si="8">IF(I289 = "N/A","0",R20-MAX($R$1:R20))</f>
        <v>-38128</v>
      </c>
      <c r="T20" s="13"/>
      <c r="U20" s="14"/>
      <c r="V20" s="14"/>
      <c r="W20" s="14"/>
      <c r="X20" s="15">
        <v>1200000.0</v>
      </c>
      <c r="Y20" s="14"/>
      <c r="Z20" s="14"/>
      <c r="AA20" s="16"/>
      <c r="AB20" s="16"/>
      <c r="AC20" s="16"/>
      <c r="AD20" s="16"/>
      <c r="AE20" s="16"/>
      <c r="AF20" s="16"/>
      <c r="AG20" s="16"/>
      <c r="AH20" s="16"/>
      <c r="AI20" s="16"/>
    </row>
    <row r="21" ht="14.25" customHeight="1">
      <c r="A21" s="23">
        <v>19.0</v>
      </c>
      <c r="B21" s="24" t="s">
        <v>30</v>
      </c>
      <c r="C21" s="25" t="s">
        <v>32</v>
      </c>
      <c r="D21" s="24"/>
      <c r="E21" s="24"/>
      <c r="F21" s="24"/>
      <c r="G21" s="24"/>
      <c r="H21" s="24"/>
      <c r="I21" s="24">
        <v>-4852.5</v>
      </c>
      <c r="J21" s="26">
        <v>226.65999999999985</v>
      </c>
      <c r="K21" s="26"/>
      <c r="L21" s="26"/>
      <c r="M21" s="26"/>
      <c r="N21" s="26">
        <v>8.0</v>
      </c>
      <c r="O21" s="26">
        <f t="shared" si="1"/>
        <v>125</v>
      </c>
      <c r="P21" s="26">
        <f t="shared" ref="P21:P107" si="9">ROUND(J21+O21,0)</f>
        <v>352</v>
      </c>
      <c r="Q21" s="27">
        <f t="shared" ref="Q21:Q107" si="10">IF(I21 = "N/A","",ROUND(SUM(I21)-P21,0))</f>
        <v>-5205</v>
      </c>
      <c r="R21" s="28">
        <f t="shared" si="4"/>
        <v>-2651</v>
      </c>
      <c r="S21" s="29">
        <f t="shared" si="8"/>
        <v>-43333</v>
      </c>
      <c r="T21" s="30"/>
      <c r="U21" s="30"/>
      <c r="V21" s="30"/>
      <c r="W21" s="30"/>
      <c r="X21" s="31">
        <v>1200000.0</v>
      </c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2"/>
      <c r="AK21" s="32"/>
      <c r="AL21" s="32"/>
    </row>
    <row r="22" ht="14.25" customHeight="1">
      <c r="A22" s="23">
        <v>20.0</v>
      </c>
      <c r="B22" s="24" t="s">
        <v>26</v>
      </c>
      <c r="C22" s="25" t="s">
        <v>33</v>
      </c>
      <c r="D22" s="24"/>
      <c r="E22" s="24"/>
      <c r="F22" s="24"/>
      <c r="G22" s="24"/>
      <c r="H22" s="24"/>
      <c r="I22" s="24">
        <v>763.0</v>
      </c>
      <c r="J22" s="26">
        <v>430.03</v>
      </c>
      <c r="K22" s="26"/>
      <c r="L22" s="26"/>
      <c r="M22" s="26"/>
      <c r="N22" s="26">
        <v>8.0</v>
      </c>
      <c r="O22" s="26">
        <f t="shared" si="1"/>
        <v>125</v>
      </c>
      <c r="P22" s="26">
        <f t="shared" si="9"/>
        <v>555</v>
      </c>
      <c r="Q22" s="27">
        <f t="shared" si="10"/>
        <v>208</v>
      </c>
      <c r="R22" s="28">
        <f t="shared" si="4"/>
        <v>-2443</v>
      </c>
      <c r="S22" s="29">
        <f t="shared" si="8"/>
        <v>-43125</v>
      </c>
      <c r="T22" s="30"/>
      <c r="U22" s="30"/>
      <c r="V22" s="30"/>
      <c r="W22" s="30"/>
      <c r="X22" s="31">
        <v>1200000.0</v>
      </c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2"/>
      <c r="AK22" s="32"/>
      <c r="AL22" s="32"/>
    </row>
    <row r="23" ht="14.25" customHeight="1">
      <c r="A23" s="23">
        <v>21.0</v>
      </c>
      <c r="B23" s="24" t="s">
        <v>27</v>
      </c>
      <c r="C23" s="25" t="s">
        <v>34</v>
      </c>
      <c r="D23" s="24"/>
      <c r="E23" s="24"/>
      <c r="F23" s="24"/>
      <c r="G23" s="24"/>
      <c r="H23" s="24"/>
      <c r="I23" s="24">
        <v>-6753.75</v>
      </c>
      <c r="J23" s="26">
        <v>830.1700000000001</v>
      </c>
      <c r="K23" s="26"/>
      <c r="L23" s="26"/>
      <c r="M23" s="26"/>
      <c r="N23" s="26">
        <v>8.0</v>
      </c>
      <c r="O23" s="26">
        <f t="shared" si="1"/>
        <v>125</v>
      </c>
      <c r="P23" s="26">
        <f t="shared" si="9"/>
        <v>955</v>
      </c>
      <c r="Q23" s="27">
        <f t="shared" si="10"/>
        <v>-7709</v>
      </c>
      <c r="R23" s="28">
        <f t="shared" si="4"/>
        <v>-10152</v>
      </c>
      <c r="S23" s="29">
        <f t="shared" si="8"/>
        <v>-50834</v>
      </c>
      <c r="T23" s="30"/>
      <c r="U23" s="30"/>
      <c r="V23" s="30"/>
      <c r="W23" s="30"/>
      <c r="X23" s="31">
        <v>1200000.0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2"/>
      <c r="AK23" s="32"/>
      <c r="AL23" s="32"/>
    </row>
    <row r="24" ht="14.25" customHeight="1">
      <c r="A24" s="23">
        <v>22.0</v>
      </c>
      <c r="B24" s="24" t="s">
        <v>29</v>
      </c>
      <c r="C24" s="25" t="s">
        <v>35</v>
      </c>
      <c r="D24" s="24"/>
      <c r="E24" s="24"/>
      <c r="F24" s="24"/>
      <c r="G24" s="24"/>
      <c r="H24" s="24"/>
      <c r="I24" s="24">
        <v>4586.25</v>
      </c>
      <c r="J24" s="26">
        <v>853.7000000000003</v>
      </c>
      <c r="K24" s="26"/>
      <c r="L24" s="26"/>
      <c r="M24" s="26"/>
      <c r="N24" s="26">
        <v>8.0</v>
      </c>
      <c r="O24" s="26">
        <f t="shared" si="1"/>
        <v>125</v>
      </c>
      <c r="P24" s="26">
        <f t="shared" si="9"/>
        <v>979</v>
      </c>
      <c r="Q24" s="27">
        <f t="shared" si="10"/>
        <v>3607</v>
      </c>
      <c r="R24" s="28">
        <f t="shared" si="4"/>
        <v>-6545</v>
      </c>
      <c r="S24" s="29">
        <f t="shared" si="8"/>
        <v>-47227</v>
      </c>
      <c r="T24" s="30"/>
      <c r="U24" s="30"/>
      <c r="V24" s="30"/>
      <c r="W24" s="30"/>
      <c r="X24" s="31">
        <v>1200000.0</v>
      </c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2"/>
      <c r="AK24" s="32"/>
      <c r="AL24" s="32"/>
    </row>
    <row r="25" ht="14.25" customHeight="1">
      <c r="A25" s="23">
        <v>23.0</v>
      </c>
      <c r="B25" s="24" t="s">
        <v>30</v>
      </c>
      <c r="C25" s="25" t="s">
        <v>36</v>
      </c>
      <c r="D25" s="24"/>
      <c r="E25" s="24"/>
      <c r="F25" s="24"/>
      <c r="G25" s="24"/>
      <c r="H25" s="24"/>
      <c r="I25" s="24">
        <v>-3540.0</v>
      </c>
      <c r="J25" s="26">
        <v>282.7600000000002</v>
      </c>
      <c r="K25" s="26"/>
      <c r="L25" s="26"/>
      <c r="M25" s="26"/>
      <c r="N25" s="26">
        <v>8.0</v>
      </c>
      <c r="O25" s="26">
        <f t="shared" si="1"/>
        <v>125</v>
      </c>
      <c r="P25" s="26">
        <f t="shared" si="9"/>
        <v>408</v>
      </c>
      <c r="Q25" s="27">
        <f t="shared" si="10"/>
        <v>-3948</v>
      </c>
      <c r="R25" s="28">
        <f t="shared" si="4"/>
        <v>-10493</v>
      </c>
      <c r="S25" s="29">
        <f t="shared" si="8"/>
        <v>-51175</v>
      </c>
      <c r="T25" s="30"/>
      <c r="U25" s="30"/>
      <c r="V25" s="30"/>
      <c r="W25" s="30"/>
      <c r="X25" s="31">
        <v>1200000.0</v>
      </c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2"/>
      <c r="AK25" s="32"/>
      <c r="AL25" s="32"/>
    </row>
    <row r="26" ht="14.25" customHeight="1">
      <c r="A26" s="23">
        <v>24.0</v>
      </c>
      <c r="B26" s="24" t="s">
        <v>26</v>
      </c>
      <c r="C26" s="25" t="s">
        <v>37</v>
      </c>
      <c r="D26" s="24"/>
      <c r="E26" s="24"/>
      <c r="F26" s="24"/>
      <c r="G26" s="24"/>
      <c r="H26" s="24"/>
      <c r="I26" s="24">
        <v>5064.0</v>
      </c>
      <c r="J26" s="26">
        <v>228.5600000000004</v>
      </c>
      <c r="K26" s="26"/>
      <c r="L26" s="26"/>
      <c r="M26" s="26"/>
      <c r="N26" s="26">
        <v>8.0</v>
      </c>
      <c r="O26" s="26">
        <f t="shared" si="1"/>
        <v>125</v>
      </c>
      <c r="P26" s="26">
        <f t="shared" si="9"/>
        <v>354</v>
      </c>
      <c r="Q26" s="27">
        <f t="shared" si="10"/>
        <v>4710</v>
      </c>
      <c r="R26" s="28">
        <f t="shared" si="4"/>
        <v>-5783</v>
      </c>
      <c r="S26" s="29">
        <f t="shared" si="8"/>
        <v>-46465</v>
      </c>
      <c r="T26" s="30"/>
      <c r="U26" s="30"/>
      <c r="V26" s="30"/>
      <c r="W26" s="30"/>
      <c r="X26" s="31">
        <v>1200000.0</v>
      </c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2"/>
      <c r="AK26" s="32"/>
      <c r="AL26" s="32"/>
    </row>
    <row r="27" ht="14.25" customHeight="1">
      <c r="A27" s="23">
        <v>25.0</v>
      </c>
      <c r="B27" s="24" t="s">
        <v>27</v>
      </c>
      <c r="C27" s="25" t="s">
        <v>38</v>
      </c>
      <c r="D27" s="24"/>
      <c r="E27" s="24"/>
      <c r="F27" s="24"/>
      <c r="G27" s="24"/>
      <c r="H27" s="24"/>
      <c r="I27" s="24">
        <v>3521.25</v>
      </c>
      <c r="J27" s="26">
        <v>194.5</v>
      </c>
      <c r="K27" s="26"/>
      <c r="L27" s="26"/>
      <c r="M27" s="26"/>
      <c r="N27" s="26">
        <v>8.0</v>
      </c>
      <c r="O27" s="26">
        <f t="shared" si="1"/>
        <v>125</v>
      </c>
      <c r="P27" s="26">
        <f t="shared" si="9"/>
        <v>320</v>
      </c>
      <c r="Q27" s="27">
        <f t="shared" si="10"/>
        <v>3201</v>
      </c>
      <c r="R27" s="28">
        <f t="shared" si="4"/>
        <v>-2582</v>
      </c>
      <c r="S27" s="29">
        <f t="shared" si="8"/>
        <v>-43264</v>
      </c>
      <c r="T27" s="30"/>
      <c r="U27" s="30"/>
      <c r="V27" s="30"/>
      <c r="W27" s="30"/>
      <c r="X27" s="31">
        <v>1200000.0</v>
      </c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2"/>
      <c r="AK27" s="32"/>
      <c r="AL27" s="32"/>
    </row>
    <row r="28" ht="14.25" customHeight="1">
      <c r="A28" s="23">
        <v>26.0</v>
      </c>
      <c r="B28" s="24" t="s">
        <v>28</v>
      </c>
      <c r="C28" s="25" t="s">
        <v>39</v>
      </c>
      <c r="D28" s="24"/>
      <c r="E28" s="24"/>
      <c r="F28" s="24"/>
      <c r="G28" s="24"/>
      <c r="H28" s="24"/>
      <c r="I28" s="24">
        <v>4170.0</v>
      </c>
      <c r="J28" s="26">
        <v>369.7800000000002</v>
      </c>
      <c r="K28" s="26"/>
      <c r="L28" s="26"/>
      <c r="M28" s="26"/>
      <c r="N28" s="26">
        <v>8.0</v>
      </c>
      <c r="O28" s="26">
        <f t="shared" si="1"/>
        <v>125</v>
      </c>
      <c r="P28" s="26">
        <f t="shared" si="9"/>
        <v>495</v>
      </c>
      <c r="Q28" s="27">
        <f t="shared" si="10"/>
        <v>3675</v>
      </c>
      <c r="R28" s="28">
        <f t="shared" si="4"/>
        <v>1093</v>
      </c>
      <c r="S28" s="29">
        <f t="shared" si="8"/>
        <v>-39589</v>
      </c>
      <c r="T28" s="30"/>
      <c r="U28" s="30"/>
      <c r="V28" s="30"/>
      <c r="W28" s="30"/>
      <c r="X28" s="31">
        <v>1200000.0</v>
      </c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2"/>
      <c r="AK28" s="32"/>
      <c r="AL28" s="32"/>
    </row>
    <row r="29" ht="14.25" customHeight="1">
      <c r="A29" s="23">
        <v>27.0</v>
      </c>
      <c r="B29" s="24" t="s">
        <v>29</v>
      </c>
      <c r="C29" s="25" t="s">
        <v>40</v>
      </c>
      <c r="D29" s="24"/>
      <c r="E29" s="24"/>
      <c r="F29" s="24"/>
      <c r="G29" s="24"/>
      <c r="H29" s="24"/>
      <c r="I29" s="24">
        <v>-1496.25</v>
      </c>
      <c r="J29" s="26">
        <v>757.8400000000001</v>
      </c>
      <c r="K29" s="26"/>
      <c r="L29" s="26"/>
      <c r="M29" s="26"/>
      <c r="N29" s="26">
        <v>8.0</v>
      </c>
      <c r="O29" s="26">
        <f t="shared" si="1"/>
        <v>125</v>
      </c>
      <c r="P29" s="26">
        <f t="shared" si="9"/>
        <v>883</v>
      </c>
      <c r="Q29" s="27">
        <f t="shared" si="10"/>
        <v>-2379</v>
      </c>
      <c r="R29" s="28">
        <f t="shared" si="4"/>
        <v>-1286</v>
      </c>
      <c r="S29" s="29">
        <f t="shared" si="8"/>
        <v>-41968</v>
      </c>
      <c r="T29" s="30"/>
      <c r="U29" s="30"/>
      <c r="V29" s="30"/>
      <c r="W29" s="30"/>
      <c r="X29" s="31">
        <v>1200000.0</v>
      </c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2"/>
      <c r="AK29" s="32"/>
      <c r="AL29" s="32"/>
    </row>
    <row r="30" ht="14.25" customHeight="1">
      <c r="A30" s="23">
        <v>28.0</v>
      </c>
      <c r="B30" s="24" t="s">
        <v>30</v>
      </c>
      <c r="C30" s="25" t="s">
        <v>41</v>
      </c>
      <c r="D30" s="24"/>
      <c r="E30" s="24"/>
      <c r="F30" s="24"/>
      <c r="G30" s="24"/>
      <c r="H30" s="24"/>
      <c r="I30" s="24">
        <v>-13657.5</v>
      </c>
      <c r="J30" s="26">
        <v>936.1800000000003</v>
      </c>
      <c r="K30" s="26"/>
      <c r="L30" s="26"/>
      <c r="M30" s="26"/>
      <c r="N30" s="26">
        <v>16.0</v>
      </c>
      <c r="O30" s="26">
        <f t="shared" si="1"/>
        <v>225</v>
      </c>
      <c r="P30" s="26">
        <f t="shared" si="9"/>
        <v>1161</v>
      </c>
      <c r="Q30" s="27">
        <f t="shared" si="10"/>
        <v>-14819</v>
      </c>
      <c r="R30" s="28">
        <f t="shared" si="4"/>
        <v>-16105</v>
      </c>
      <c r="S30" s="29">
        <f t="shared" si="8"/>
        <v>-56787</v>
      </c>
      <c r="T30" s="30"/>
      <c r="U30" s="30"/>
      <c r="V30" s="30"/>
      <c r="W30" s="30"/>
      <c r="X30" s="31">
        <v>1200000.0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2"/>
      <c r="AK30" s="32"/>
      <c r="AL30" s="32"/>
    </row>
    <row r="31" ht="14.25" customHeight="1">
      <c r="A31" s="23">
        <v>29.0</v>
      </c>
      <c r="B31" s="24" t="s">
        <v>26</v>
      </c>
      <c r="C31" s="25" t="s">
        <v>42</v>
      </c>
      <c r="D31" s="24"/>
      <c r="E31" s="24"/>
      <c r="F31" s="24"/>
      <c r="G31" s="24"/>
      <c r="H31" s="24"/>
      <c r="I31" s="24">
        <v>2742.0</v>
      </c>
      <c r="J31" s="26">
        <v>1350.62</v>
      </c>
      <c r="K31" s="26"/>
      <c r="L31" s="26"/>
      <c r="M31" s="26"/>
      <c r="N31" s="26">
        <v>20.0</v>
      </c>
      <c r="O31" s="26">
        <f t="shared" si="1"/>
        <v>275</v>
      </c>
      <c r="P31" s="26">
        <f t="shared" si="9"/>
        <v>1626</v>
      </c>
      <c r="Q31" s="27">
        <f t="shared" si="10"/>
        <v>1116</v>
      </c>
      <c r="R31" s="28">
        <f t="shared" si="4"/>
        <v>-14989</v>
      </c>
      <c r="S31" s="29">
        <f t="shared" si="8"/>
        <v>-55671</v>
      </c>
      <c r="T31" s="30"/>
      <c r="U31" s="30"/>
      <c r="V31" s="30"/>
      <c r="W31" s="30"/>
      <c r="X31" s="31">
        <v>1200000.0</v>
      </c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2"/>
      <c r="AK31" s="32"/>
      <c r="AL31" s="32"/>
    </row>
    <row r="32" ht="14.25" customHeight="1">
      <c r="A32" s="23">
        <v>30.0</v>
      </c>
      <c r="B32" s="24" t="s">
        <v>27</v>
      </c>
      <c r="C32" s="25" t="s">
        <v>43</v>
      </c>
      <c r="D32" s="24"/>
      <c r="E32" s="24"/>
      <c r="F32" s="24"/>
      <c r="G32" s="24"/>
      <c r="H32" s="24"/>
      <c r="I32" s="24">
        <v>5272.5</v>
      </c>
      <c r="J32" s="26">
        <v>194.0</v>
      </c>
      <c r="K32" s="26"/>
      <c r="L32" s="26"/>
      <c r="M32" s="26"/>
      <c r="N32" s="26">
        <v>20.0</v>
      </c>
      <c r="O32" s="26">
        <f t="shared" si="1"/>
        <v>275</v>
      </c>
      <c r="P32" s="26">
        <f t="shared" si="9"/>
        <v>469</v>
      </c>
      <c r="Q32" s="27">
        <f t="shared" si="10"/>
        <v>4804</v>
      </c>
      <c r="R32" s="28">
        <f t="shared" si="4"/>
        <v>-10185</v>
      </c>
      <c r="S32" s="29">
        <f t="shared" si="8"/>
        <v>-50867</v>
      </c>
      <c r="T32" s="30"/>
      <c r="U32" s="30"/>
      <c r="V32" s="30"/>
      <c r="W32" s="30"/>
      <c r="X32" s="31">
        <v>1200000.0</v>
      </c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2"/>
      <c r="AK32" s="32"/>
      <c r="AL32" s="32"/>
    </row>
    <row r="33" ht="14.25" customHeight="1">
      <c r="A33" s="23">
        <v>31.0</v>
      </c>
      <c r="B33" s="24" t="s">
        <v>28</v>
      </c>
      <c r="C33" s="25" t="s">
        <v>44</v>
      </c>
      <c r="D33" s="24"/>
      <c r="E33" s="24"/>
      <c r="F33" s="24"/>
      <c r="G33" s="24"/>
      <c r="H33" s="24"/>
      <c r="I33" s="24">
        <v>-25650.0</v>
      </c>
      <c r="J33" s="26">
        <v>2027.7200000000012</v>
      </c>
      <c r="K33" s="26"/>
      <c r="L33" s="26"/>
      <c r="M33" s="26"/>
      <c r="N33" s="26">
        <v>20.0</v>
      </c>
      <c r="O33" s="26">
        <f t="shared" si="1"/>
        <v>275</v>
      </c>
      <c r="P33" s="26">
        <f t="shared" si="9"/>
        <v>2303</v>
      </c>
      <c r="Q33" s="27">
        <f t="shared" si="10"/>
        <v>-27953</v>
      </c>
      <c r="R33" s="28">
        <f t="shared" si="4"/>
        <v>-38138</v>
      </c>
      <c r="S33" s="29">
        <f t="shared" si="8"/>
        <v>-78820</v>
      </c>
      <c r="T33" s="30"/>
      <c r="U33" s="30"/>
      <c r="V33" s="30"/>
      <c r="W33" s="30"/>
      <c r="X33" s="31">
        <v>1200000.0</v>
      </c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2"/>
      <c r="AK33" s="32"/>
      <c r="AL33" s="32"/>
    </row>
    <row r="34" ht="14.25" customHeight="1">
      <c r="A34" s="23">
        <v>32.0</v>
      </c>
      <c r="B34" s="24" t="s">
        <v>29</v>
      </c>
      <c r="C34" s="25" t="s">
        <v>45</v>
      </c>
      <c r="D34" s="24"/>
      <c r="E34" s="24"/>
      <c r="F34" s="24"/>
      <c r="G34" s="24"/>
      <c r="H34" s="24"/>
      <c r="I34" s="24">
        <v>9825.0</v>
      </c>
      <c r="J34" s="26">
        <v>243.23999999999978</v>
      </c>
      <c r="K34" s="26"/>
      <c r="L34" s="26"/>
      <c r="M34" s="26"/>
      <c r="N34" s="26">
        <v>8.0</v>
      </c>
      <c r="O34" s="26">
        <f t="shared" si="1"/>
        <v>125</v>
      </c>
      <c r="P34" s="26">
        <f t="shared" si="9"/>
        <v>368</v>
      </c>
      <c r="Q34" s="27">
        <f t="shared" si="10"/>
        <v>9457</v>
      </c>
      <c r="R34" s="28">
        <f t="shared" si="4"/>
        <v>-28681</v>
      </c>
      <c r="S34" s="29">
        <f t="shared" si="8"/>
        <v>-69363</v>
      </c>
      <c r="T34" s="30"/>
      <c r="U34" s="30"/>
      <c r="V34" s="30"/>
      <c r="W34" s="30"/>
      <c r="X34" s="31">
        <v>1200000.0</v>
      </c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2"/>
      <c r="AK34" s="32"/>
      <c r="AL34" s="32"/>
    </row>
    <row r="35" ht="14.25" customHeight="1">
      <c r="A35" s="23">
        <v>33.0</v>
      </c>
      <c r="B35" s="24" t="s">
        <v>30</v>
      </c>
      <c r="C35" s="25" t="s">
        <v>46</v>
      </c>
      <c r="D35" s="24"/>
      <c r="E35" s="24"/>
      <c r="F35" s="24"/>
      <c r="G35" s="24"/>
      <c r="H35" s="24"/>
      <c r="I35" s="24">
        <v>6881.25</v>
      </c>
      <c r="J35" s="26">
        <v>194.02000000000044</v>
      </c>
      <c r="K35" s="26"/>
      <c r="L35" s="26"/>
      <c r="M35" s="26"/>
      <c r="N35" s="26">
        <v>8.0</v>
      </c>
      <c r="O35" s="26">
        <f t="shared" si="1"/>
        <v>125</v>
      </c>
      <c r="P35" s="26">
        <f t="shared" si="9"/>
        <v>319</v>
      </c>
      <c r="Q35" s="27">
        <f t="shared" si="10"/>
        <v>6562</v>
      </c>
      <c r="R35" s="28">
        <f t="shared" si="4"/>
        <v>-22119</v>
      </c>
      <c r="S35" s="29">
        <f t="shared" si="8"/>
        <v>-62801</v>
      </c>
      <c r="T35" s="30"/>
      <c r="U35" s="30"/>
      <c r="V35" s="30"/>
      <c r="W35" s="30"/>
      <c r="X35" s="31">
        <v>1200000.0</v>
      </c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2"/>
      <c r="AK35" s="32"/>
      <c r="AL35" s="32"/>
    </row>
    <row r="36" ht="14.25" customHeight="1">
      <c r="A36" s="23">
        <v>34.0</v>
      </c>
      <c r="B36" s="24" t="s">
        <v>26</v>
      </c>
      <c r="C36" s="25" t="s">
        <v>47</v>
      </c>
      <c r="D36" s="24"/>
      <c r="E36" s="24"/>
      <c r="F36" s="24"/>
      <c r="G36" s="24"/>
      <c r="H36" s="24"/>
      <c r="I36" s="24">
        <v>2613.25</v>
      </c>
      <c r="J36" s="26">
        <v>667.45</v>
      </c>
      <c r="K36" s="26"/>
      <c r="L36" s="26"/>
      <c r="M36" s="26"/>
      <c r="N36" s="26">
        <v>8.0</v>
      </c>
      <c r="O36" s="26">
        <f t="shared" si="1"/>
        <v>125</v>
      </c>
      <c r="P36" s="26">
        <f t="shared" si="9"/>
        <v>792</v>
      </c>
      <c r="Q36" s="27">
        <f t="shared" si="10"/>
        <v>1821</v>
      </c>
      <c r="R36" s="28">
        <f t="shared" si="4"/>
        <v>-20298</v>
      </c>
      <c r="S36" s="29">
        <f t="shared" si="8"/>
        <v>-60980</v>
      </c>
      <c r="T36" s="30"/>
      <c r="U36" s="30"/>
      <c r="V36" s="30"/>
      <c r="W36" s="30"/>
      <c r="X36" s="31">
        <v>1200000.0</v>
      </c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2"/>
      <c r="AK36" s="32"/>
      <c r="AL36" s="32"/>
    </row>
    <row r="37" ht="14.25" customHeight="1">
      <c r="A37" s="23">
        <v>35.0</v>
      </c>
      <c r="B37" s="24" t="s">
        <v>26</v>
      </c>
      <c r="C37" s="25" t="s">
        <v>47</v>
      </c>
      <c r="D37" s="24"/>
      <c r="E37" s="24"/>
      <c r="F37" s="24"/>
      <c r="G37" s="24"/>
      <c r="H37" s="24"/>
      <c r="I37" s="24">
        <v>-1196.25</v>
      </c>
      <c r="J37" s="26">
        <v>26.950000000000045</v>
      </c>
      <c r="K37" s="26"/>
      <c r="L37" s="26"/>
      <c r="M37" s="26"/>
      <c r="N37" s="26">
        <v>10.0</v>
      </c>
      <c r="O37" s="26">
        <f t="shared" si="1"/>
        <v>150</v>
      </c>
      <c r="P37" s="26">
        <f t="shared" si="9"/>
        <v>177</v>
      </c>
      <c r="Q37" s="27">
        <f t="shared" si="10"/>
        <v>-1373</v>
      </c>
      <c r="R37" s="28">
        <f t="shared" si="4"/>
        <v>-21671</v>
      </c>
      <c r="S37" s="29">
        <f t="shared" si="8"/>
        <v>-62353</v>
      </c>
      <c r="T37" s="30"/>
      <c r="U37" s="30"/>
      <c r="V37" s="30"/>
      <c r="W37" s="30"/>
      <c r="X37" s="31">
        <v>1200000.0</v>
      </c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2"/>
      <c r="AK37" s="32"/>
      <c r="AL37" s="32"/>
    </row>
    <row r="38" ht="14.25" customHeight="1">
      <c r="A38" s="23">
        <v>36.0</v>
      </c>
      <c r="B38" s="24" t="s">
        <v>27</v>
      </c>
      <c r="C38" s="25" t="s">
        <v>48</v>
      </c>
      <c r="D38" s="24"/>
      <c r="E38" s="24"/>
      <c r="F38" s="24"/>
      <c r="G38" s="24"/>
      <c r="H38" s="24"/>
      <c r="I38" s="24">
        <v>-19916.25</v>
      </c>
      <c r="J38" s="26">
        <v>915.7400000000016</v>
      </c>
      <c r="K38" s="26"/>
      <c r="L38" s="26"/>
      <c r="M38" s="26"/>
      <c r="N38" s="26">
        <v>10.0</v>
      </c>
      <c r="O38" s="26">
        <f t="shared" si="1"/>
        <v>150</v>
      </c>
      <c r="P38" s="26">
        <f t="shared" si="9"/>
        <v>1066</v>
      </c>
      <c r="Q38" s="27">
        <f t="shared" si="10"/>
        <v>-20982</v>
      </c>
      <c r="R38" s="28">
        <f t="shared" si="4"/>
        <v>-42653</v>
      </c>
      <c r="S38" s="29">
        <f t="shared" si="8"/>
        <v>-83335</v>
      </c>
      <c r="T38" s="30"/>
      <c r="U38" s="30"/>
      <c r="V38" s="30"/>
      <c r="W38" s="30"/>
      <c r="X38" s="31">
        <v>1200000.0</v>
      </c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2"/>
      <c r="AK38" s="32"/>
      <c r="AL38" s="32"/>
    </row>
    <row r="39" ht="14.25" customHeight="1">
      <c r="A39" s="23">
        <v>37.0</v>
      </c>
      <c r="B39" s="24" t="s">
        <v>28</v>
      </c>
      <c r="C39" s="25" t="s">
        <v>49</v>
      </c>
      <c r="D39" s="24"/>
      <c r="E39" s="24"/>
      <c r="F39" s="24"/>
      <c r="G39" s="24"/>
      <c r="H39" s="24"/>
      <c r="I39" s="24">
        <v>29463.75</v>
      </c>
      <c r="J39" s="26">
        <v>599.2000000000007</v>
      </c>
      <c r="K39" s="26"/>
      <c r="L39" s="26"/>
      <c r="M39" s="26"/>
      <c r="N39" s="26">
        <v>10.0</v>
      </c>
      <c r="O39" s="26">
        <f t="shared" si="1"/>
        <v>150</v>
      </c>
      <c r="P39" s="26">
        <f t="shared" si="9"/>
        <v>749</v>
      </c>
      <c r="Q39" s="27">
        <f t="shared" si="10"/>
        <v>28715</v>
      </c>
      <c r="R39" s="28">
        <f t="shared" si="4"/>
        <v>-13938</v>
      </c>
      <c r="S39" s="29">
        <f t="shared" si="8"/>
        <v>-54620</v>
      </c>
      <c r="T39" s="30"/>
      <c r="U39" s="30"/>
      <c r="V39" s="30"/>
      <c r="W39" s="30"/>
      <c r="X39" s="31">
        <v>1200000.0</v>
      </c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2"/>
      <c r="AK39" s="32"/>
      <c r="AL39" s="32"/>
    </row>
    <row r="40" ht="14.25" customHeight="1">
      <c r="A40" s="23">
        <v>38.0</v>
      </c>
      <c r="B40" s="24" t="s">
        <v>29</v>
      </c>
      <c r="C40" s="25" t="s">
        <v>50</v>
      </c>
      <c r="D40" s="24"/>
      <c r="E40" s="24"/>
      <c r="F40" s="24"/>
      <c r="G40" s="24"/>
      <c r="H40" s="24"/>
      <c r="I40" s="24">
        <v>-14883.75</v>
      </c>
      <c r="J40" s="26">
        <v>909.4699999999993</v>
      </c>
      <c r="K40" s="26"/>
      <c r="L40" s="26"/>
      <c r="M40" s="26"/>
      <c r="N40" s="26">
        <v>10.0</v>
      </c>
      <c r="O40" s="26">
        <f t="shared" si="1"/>
        <v>150</v>
      </c>
      <c r="P40" s="26">
        <f t="shared" si="9"/>
        <v>1059</v>
      </c>
      <c r="Q40" s="27">
        <f t="shared" si="10"/>
        <v>-15943</v>
      </c>
      <c r="R40" s="28">
        <f t="shared" si="4"/>
        <v>-29881</v>
      </c>
      <c r="S40" s="29">
        <f t="shared" si="8"/>
        <v>-70563</v>
      </c>
      <c r="T40" s="30"/>
      <c r="U40" s="30"/>
      <c r="V40" s="30"/>
      <c r="W40" s="30"/>
      <c r="X40" s="31">
        <v>1200000.0</v>
      </c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2"/>
      <c r="AK40" s="32"/>
      <c r="AL40" s="32"/>
    </row>
    <row r="41" ht="14.25" customHeight="1">
      <c r="A41" s="23">
        <v>39.0</v>
      </c>
      <c r="B41" s="24" t="s">
        <v>30</v>
      </c>
      <c r="C41" s="25" t="s">
        <v>51</v>
      </c>
      <c r="D41" s="24"/>
      <c r="E41" s="24"/>
      <c r="F41" s="24"/>
      <c r="G41" s="24"/>
      <c r="H41" s="24"/>
      <c r="I41" s="24">
        <v>-5985.0</v>
      </c>
      <c r="J41" s="26">
        <v>610.3699999999999</v>
      </c>
      <c r="K41" s="26"/>
      <c r="L41" s="26"/>
      <c r="M41" s="26"/>
      <c r="N41" s="26">
        <v>10.0</v>
      </c>
      <c r="O41" s="26">
        <f t="shared" si="1"/>
        <v>150</v>
      </c>
      <c r="P41" s="26">
        <f t="shared" si="9"/>
        <v>760</v>
      </c>
      <c r="Q41" s="27">
        <f t="shared" si="10"/>
        <v>-6745</v>
      </c>
      <c r="R41" s="28">
        <f t="shared" si="4"/>
        <v>-36626</v>
      </c>
      <c r="S41" s="29">
        <f t="shared" si="8"/>
        <v>-77308</v>
      </c>
      <c r="T41" s="30"/>
      <c r="U41" s="30"/>
      <c r="V41" s="30"/>
      <c r="W41" s="30"/>
      <c r="X41" s="31">
        <v>1200000.0</v>
      </c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2"/>
      <c r="AK41" s="32"/>
      <c r="AL41" s="32"/>
    </row>
    <row r="42" ht="14.25" customHeight="1">
      <c r="A42" s="23">
        <v>40.0</v>
      </c>
      <c r="B42" s="24" t="s">
        <v>26</v>
      </c>
      <c r="C42" s="25" t="s">
        <v>52</v>
      </c>
      <c r="D42" s="24"/>
      <c r="E42" s="24"/>
      <c r="F42" s="24"/>
      <c r="G42" s="24"/>
      <c r="H42" s="24"/>
      <c r="I42" s="24">
        <v>6056.5</v>
      </c>
      <c r="J42" s="26">
        <v>1516.2399999999998</v>
      </c>
      <c r="K42" s="26"/>
      <c r="L42" s="26"/>
      <c r="M42" s="26"/>
      <c r="N42" s="26">
        <v>25.0</v>
      </c>
      <c r="O42" s="26">
        <f t="shared" si="1"/>
        <v>338</v>
      </c>
      <c r="P42" s="26">
        <f t="shared" si="9"/>
        <v>1854</v>
      </c>
      <c r="Q42" s="27">
        <f t="shared" si="10"/>
        <v>4203</v>
      </c>
      <c r="R42" s="28">
        <f t="shared" si="4"/>
        <v>-32423</v>
      </c>
      <c r="S42" s="29">
        <f t="shared" si="8"/>
        <v>-73105</v>
      </c>
      <c r="T42" s="30"/>
      <c r="U42" s="30"/>
      <c r="V42" s="30"/>
      <c r="W42" s="30"/>
      <c r="X42" s="31">
        <v>1200000.0</v>
      </c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2"/>
      <c r="AK42" s="32"/>
      <c r="AL42" s="32"/>
    </row>
    <row r="43" ht="14.25" customHeight="1">
      <c r="A43" s="23">
        <v>41.0</v>
      </c>
      <c r="B43" s="24" t="s">
        <v>27</v>
      </c>
      <c r="C43" s="25" t="s">
        <v>53</v>
      </c>
      <c r="D43" s="24"/>
      <c r="E43" s="24"/>
      <c r="F43" s="24"/>
      <c r="G43" s="24"/>
      <c r="H43" s="24"/>
      <c r="I43" s="24">
        <v>66168.0</v>
      </c>
      <c r="J43" s="26">
        <v>389.83000000000175</v>
      </c>
      <c r="K43" s="26"/>
      <c r="L43" s="26"/>
      <c r="M43" s="26"/>
      <c r="N43" s="26">
        <v>8.0</v>
      </c>
      <c r="O43" s="26">
        <f t="shared" si="1"/>
        <v>125</v>
      </c>
      <c r="P43" s="26">
        <f t="shared" si="9"/>
        <v>515</v>
      </c>
      <c r="Q43" s="27">
        <f t="shared" si="10"/>
        <v>65653</v>
      </c>
      <c r="R43" s="28">
        <f t="shared" si="4"/>
        <v>33230</v>
      </c>
      <c r="S43" s="29">
        <f t="shared" si="8"/>
        <v>-7452</v>
      </c>
      <c r="T43" s="30"/>
      <c r="U43" s="30"/>
      <c r="V43" s="30"/>
      <c r="W43" s="30"/>
      <c r="X43" s="31">
        <v>1200000.0</v>
      </c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2"/>
      <c r="AK43" s="32"/>
      <c r="AL43" s="32"/>
    </row>
    <row r="44" ht="14.25" customHeight="1">
      <c r="A44" s="23">
        <v>42.0</v>
      </c>
      <c r="B44" s="24" t="s">
        <v>28</v>
      </c>
      <c r="C44" s="25" t="s">
        <v>54</v>
      </c>
      <c r="D44" s="24"/>
      <c r="E44" s="24"/>
      <c r="F44" s="24"/>
      <c r="G44" s="24"/>
      <c r="H44" s="24"/>
      <c r="I44" s="24">
        <v>-8000.0</v>
      </c>
      <c r="J44" s="26">
        <v>0.0</v>
      </c>
      <c r="K44" s="26"/>
      <c r="L44" s="26"/>
      <c r="M44" s="26"/>
      <c r="N44" s="26">
        <v>8.0</v>
      </c>
      <c r="O44" s="26">
        <f t="shared" si="1"/>
        <v>125</v>
      </c>
      <c r="P44" s="26">
        <f t="shared" si="9"/>
        <v>125</v>
      </c>
      <c r="Q44" s="27">
        <f t="shared" si="10"/>
        <v>-8125</v>
      </c>
      <c r="R44" s="28">
        <f t="shared" si="4"/>
        <v>25105</v>
      </c>
      <c r="S44" s="29">
        <f t="shared" si="8"/>
        <v>-15577</v>
      </c>
      <c r="T44" s="30"/>
      <c r="U44" s="30"/>
      <c r="V44" s="30"/>
      <c r="W44" s="30"/>
      <c r="X44" s="31">
        <v>1200000.0</v>
      </c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2"/>
      <c r="AK44" s="32"/>
      <c r="AL44" s="32"/>
    </row>
    <row r="45" ht="14.25" customHeight="1">
      <c r="A45" s="23">
        <v>44.0</v>
      </c>
      <c r="B45" s="24" t="s">
        <v>29</v>
      </c>
      <c r="C45" s="25" t="s">
        <v>55</v>
      </c>
      <c r="D45" s="24"/>
      <c r="E45" s="24"/>
      <c r="F45" s="24"/>
      <c r="G45" s="24"/>
      <c r="H45" s="24"/>
      <c r="I45" s="24">
        <v>-8000.0</v>
      </c>
      <c r="J45" s="26">
        <v>0.0</v>
      </c>
      <c r="K45" s="26"/>
      <c r="L45" s="26"/>
      <c r="M45" s="26"/>
      <c r="N45" s="26">
        <v>8.0</v>
      </c>
      <c r="O45" s="26">
        <f t="shared" si="1"/>
        <v>125</v>
      </c>
      <c r="P45" s="26">
        <f t="shared" si="9"/>
        <v>125</v>
      </c>
      <c r="Q45" s="27">
        <f t="shared" si="10"/>
        <v>-8125</v>
      </c>
      <c r="R45" s="28">
        <f t="shared" si="4"/>
        <v>16980</v>
      </c>
      <c r="S45" s="29">
        <f t="shared" ref="S45:S288" si="11">IF(I315 = "N/A","0",R45-MAX($R$1:R45))</f>
        <v>-23702</v>
      </c>
      <c r="T45" s="30"/>
      <c r="U45" s="30"/>
      <c r="V45" s="30"/>
      <c r="W45" s="30"/>
      <c r="X45" s="31">
        <v>1200000.0</v>
      </c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2"/>
      <c r="AK45" s="32"/>
      <c r="AL45" s="32"/>
    </row>
    <row r="46" ht="14.25" customHeight="1">
      <c r="A46" s="23">
        <v>45.0</v>
      </c>
      <c r="B46" s="24" t="s">
        <v>30</v>
      </c>
      <c r="C46" s="25" t="s">
        <v>56</v>
      </c>
      <c r="D46" s="24"/>
      <c r="E46" s="24"/>
      <c r="F46" s="24"/>
      <c r="G46" s="24"/>
      <c r="H46" s="24"/>
      <c r="I46" s="24">
        <v>7598.0</v>
      </c>
      <c r="J46" s="26">
        <v>716.21</v>
      </c>
      <c r="K46" s="26"/>
      <c r="L46" s="26"/>
      <c r="M46" s="26"/>
      <c r="N46" s="26">
        <v>8.0</v>
      </c>
      <c r="O46" s="26">
        <f t="shared" si="1"/>
        <v>125</v>
      </c>
      <c r="P46" s="26">
        <f t="shared" si="9"/>
        <v>841</v>
      </c>
      <c r="Q46" s="27">
        <f t="shared" si="10"/>
        <v>6757</v>
      </c>
      <c r="R46" s="28">
        <f t="shared" si="4"/>
        <v>23737</v>
      </c>
      <c r="S46" s="29">
        <f t="shared" si="11"/>
        <v>-16945</v>
      </c>
      <c r="T46" s="30"/>
      <c r="U46" s="30"/>
      <c r="V46" s="30"/>
      <c r="W46" s="30"/>
      <c r="X46" s="31">
        <v>1200000.0</v>
      </c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2"/>
      <c r="AK46" s="32"/>
      <c r="AL46" s="32"/>
    </row>
    <row r="47" ht="14.25" customHeight="1">
      <c r="A47" s="23">
        <v>46.0</v>
      </c>
      <c r="B47" s="24" t="s">
        <v>26</v>
      </c>
      <c r="C47" s="25" t="s">
        <v>57</v>
      </c>
      <c r="D47" s="24"/>
      <c r="E47" s="24"/>
      <c r="F47" s="24"/>
      <c r="G47" s="24"/>
      <c r="H47" s="24"/>
      <c r="I47" s="24">
        <v>5953.5</v>
      </c>
      <c r="J47" s="26">
        <v>1124.5400000000009</v>
      </c>
      <c r="K47" s="26"/>
      <c r="L47" s="26"/>
      <c r="M47" s="26"/>
      <c r="N47" s="26">
        <v>8.0</v>
      </c>
      <c r="O47" s="26">
        <f t="shared" si="1"/>
        <v>125</v>
      </c>
      <c r="P47" s="26">
        <f t="shared" si="9"/>
        <v>1250</v>
      </c>
      <c r="Q47" s="27">
        <f t="shared" si="10"/>
        <v>4704</v>
      </c>
      <c r="R47" s="28">
        <f t="shared" si="4"/>
        <v>28441</v>
      </c>
      <c r="S47" s="29">
        <f t="shared" si="11"/>
        <v>-12241</v>
      </c>
      <c r="T47" s="30"/>
      <c r="U47" s="30"/>
      <c r="V47" s="30"/>
      <c r="W47" s="30"/>
      <c r="X47" s="31">
        <v>1200000.0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2"/>
      <c r="AK47" s="32"/>
      <c r="AL47" s="32"/>
    </row>
    <row r="48" ht="14.25" customHeight="1">
      <c r="A48" s="23">
        <v>47.0</v>
      </c>
      <c r="B48" s="24" t="s">
        <v>27</v>
      </c>
      <c r="C48" s="25" t="s">
        <v>58</v>
      </c>
      <c r="D48" s="24"/>
      <c r="E48" s="24"/>
      <c r="F48" s="24"/>
      <c r="G48" s="24"/>
      <c r="H48" s="24"/>
      <c r="I48" s="24">
        <v>1841.25</v>
      </c>
      <c r="J48" s="26">
        <v>504.70000000000005</v>
      </c>
      <c r="K48" s="26"/>
      <c r="L48" s="26"/>
      <c r="M48" s="26"/>
      <c r="N48" s="26">
        <v>8.0</v>
      </c>
      <c r="O48" s="26">
        <f t="shared" si="1"/>
        <v>125</v>
      </c>
      <c r="P48" s="26">
        <f t="shared" si="9"/>
        <v>630</v>
      </c>
      <c r="Q48" s="27">
        <f t="shared" si="10"/>
        <v>1211</v>
      </c>
      <c r="R48" s="28">
        <f t="shared" si="4"/>
        <v>29652</v>
      </c>
      <c r="S48" s="29">
        <f t="shared" si="11"/>
        <v>-11030</v>
      </c>
      <c r="T48" s="30"/>
      <c r="U48" s="30"/>
      <c r="V48" s="30"/>
      <c r="W48" s="30"/>
      <c r="X48" s="31">
        <v>1200000.0</v>
      </c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2"/>
      <c r="AK48" s="32"/>
      <c r="AL48" s="32"/>
    </row>
    <row r="49" ht="14.25" customHeight="1">
      <c r="A49" s="23">
        <v>48.0</v>
      </c>
      <c r="B49" s="24" t="s">
        <v>28</v>
      </c>
      <c r="C49" s="25" t="s">
        <v>59</v>
      </c>
      <c r="D49" s="24"/>
      <c r="E49" s="24"/>
      <c r="F49" s="24"/>
      <c r="G49" s="24"/>
      <c r="H49" s="24"/>
      <c r="I49" s="24">
        <v>1706.25</v>
      </c>
      <c r="J49" s="26">
        <v>935.0</v>
      </c>
      <c r="K49" s="26"/>
      <c r="L49" s="26"/>
      <c r="M49" s="26"/>
      <c r="N49" s="26">
        <v>20.0</v>
      </c>
      <c r="O49" s="26">
        <f t="shared" si="1"/>
        <v>275</v>
      </c>
      <c r="P49" s="26">
        <f t="shared" si="9"/>
        <v>1210</v>
      </c>
      <c r="Q49" s="27">
        <f t="shared" si="10"/>
        <v>496</v>
      </c>
      <c r="R49" s="28">
        <f t="shared" si="4"/>
        <v>30148</v>
      </c>
      <c r="S49" s="29">
        <f t="shared" si="11"/>
        <v>-10534</v>
      </c>
      <c r="T49" s="30"/>
      <c r="U49" s="30"/>
      <c r="V49" s="30"/>
      <c r="W49" s="30"/>
      <c r="X49" s="31">
        <v>1200000.0</v>
      </c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2"/>
      <c r="AK49" s="32"/>
      <c r="AL49" s="32"/>
    </row>
    <row r="50" ht="14.25" customHeight="1">
      <c r="A50" s="23">
        <v>49.0</v>
      </c>
      <c r="B50" s="24" t="s">
        <v>29</v>
      </c>
      <c r="C50" s="25" t="s">
        <v>60</v>
      </c>
      <c r="D50" s="24"/>
      <c r="E50" s="24"/>
      <c r="F50" s="24"/>
      <c r="G50" s="24"/>
      <c r="H50" s="24"/>
      <c r="I50" s="24">
        <v>2691.0</v>
      </c>
      <c r="J50" s="26">
        <v>434.6700000000001</v>
      </c>
      <c r="K50" s="26"/>
      <c r="L50" s="26"/>
      <c r="M50" s="26"/>
      <c r="N50" s="26">
        <v>5.0</v>
      </c>
      <c r="O50" s="26">
        <f t="shared" si="1"/>
        <v>88</v>
      </c>
      <c r="P50" s="26">
        <f t="shared" si="9"/>
        <v>523</v>
      </c>
      <c r="Q50" s="27">
        <f t="shared" si="10"/>
        <v>2168</v>
      </c>
      <c r="R50" s="28">
        <f t="shared" si="4"/>
        <v>32316</v>
      </c>
      <c r="S50" s="29">
        <f t="shared" si="11"/>
        <v>-8366</v>
      </c>
      <c r="T50" s="30"/>
      <c r="U50" s="30"/>
      <c r="V50" s="30"/>
      <c r="W50" s="30"/>
      <c r="X50" s="31">
        <v>1200000.0</v>
      </c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2"/>
      <c r="AK50" s="32"/>
      <c r="AL50" s="32"/>
    </row>
    <row r="51" ht="14.25" customHeight="1">
      <c r="A51" s="23">
        <v>50.0</v>
      </c>
      <c r="B51" s="24" t="s">
        <v>30</v>
      </c>
      <c r="C51" s="25" t="s">
        <v>61</v>
      </c>
      <c r="D51" s="24"/>
      <c r="E51" s="24"/>
      <c r="F51" s="24"/>
      <c r="G51" s="24"/>
      <c r="H51" s="24"/>
      <c r="I51" s="24">
        <v>8606.25</v>
      </c>
      <c r="J51" s="26">
        <v>149.46999999999935</v>
      </c>
      <c r="K51" s="26"/>
      <c r="L51" s="26"/>
      <c r="M51" s="26"/>
      <c r="N51" s="26">
        <v>8.0</v>
      </c>
      <c r="O51" s="26">
        <f t="shared" si="1"/>
        <v>125</v>
      </c>
      <c r="P51" s="26">
        <f t="shared" si="9"/>
        <v>274</v>
      </c>
      <c r="Q51" s="27">
        <f t="shared" si="10"/>
        <v>8332</v>
      </c>
      <c r="R51" s="28">
        <f t="shared" si="4"/>
        <v>40648</v>
      </c>
      <c r="S51" s="29">
        <f t="shared" si="11"/>
        <v>-34</v>
      </c>
      <c r="T51" s="30"/>
      <c r="U51" s="30"/>
      <c r="V51" s="30"/>
      <c r="W51" s="30"/>
      <c r="X51" s="31">
        <v>1200000.0</v>
      </c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2"/>
      <c r="AK51" s="32"/>
      <c r="AL51" s="32"/>
    </row>
    <row r="52" ht="14.25" customHeight="1">
      <c r="A52" s="23">
        <v>51.0</v>
      </c>
      <c r="B52" s="24" t="s">
        <v>26</v>
      </c>
      <c r="C52" s="25" t="s">
        <v>62</v>
      </c>
      <c r="D52" s="24"/>
      <c r="E52" s="24"/>
      <c r="F52" s="24"/>
      <c r="G52" s="24"/>
      <c r="H52" s="24"/>
      <c r="I52" s="24">
        <v>20058.5</v>
      </c>
      <c r="J52" s="26">
        <v>435.34000000000015</v>
      </c>
      <c r="K52" s="26"/>
      <c r="L52" s="26"/>
      <c r="M52" s="26"/>
      <c r="N52" s="26">
        <v>8.0</v>
      </c>
      <c r="O52" s="26">
        <f t="shared" si="1"/>
        <v>125</v>
      </c>
      <c r="P52" s="26">
        <f t="shared" si="9"/>
        <v>560</v>
      </c>
      <c r="Q52" s="27">
        <f t="shared" si="10"/>
        <v>19499</v>
      </c>
      <c r="R52" s="28">
        <f t="shared" si="4"/>
        <v>60147</v>
      </c>
      <c r="S52" s="29">
        <f t="shared" si="11"/>
        <v>0</v>
      </c>
      <c r="T52" s="30"/>
      <c r="U52" s="30"/>
      <c r="V52" s="30"/>
      <c r="W52" s="30"/>
      <c r="X52" s="31">
        <v>1200000.0</v>
      </c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2"/>
      <c r="AK52" s="32"/>
      <c r="AL52" s="32"/>
    </row>
    <row r="53" ht="14.25" customHeight="1">
      <c r="A53" s="23">
        <v>52.0</v>
      </c>
      <c r="B53" s="24" t="s">
        <v>27</v>
      </c>
      <c r="C53" s="25" t="s">
        <v>63</v>
      </c>
      <c r="D53" s="24"/>
      <c r="E53" s="24"/>
      <c r="F53" s="24"/>
      <c r="G53" s="24"/>
      <c r="H53" s="24"/>
      <c r="I53" s="24">
        <v>-3071.25</v>
      </c>
      <c r="J53" s="26">
        <v>212.42000000000007</v>
      </c>
      <c r="K53" s="26"/>
      <c r="L53" s="26"/>
      <c r="M53" s="26"/>
      <c r="N53" s="26">
        <v>8.0</v>
      </c>
      <c r="O53" s="26">
        <f t="shared" si="1"/>
        <v>125</v>
      </c>
      <c r="P53" s="26">
        <f t="shared" si="9"/>
        <v>337</v>
      </c>
      <c r="Q53" s="27">
        <f t="shared" si="10"/>
        <v>-3408</v>
      </c>
      <c r="R53" s="28">
        <f t="shared" si="4"/>
        <v>56739</v>
      </c>
      <c r="S53" s="29">
        <f t="shared" si="11"/>
        <v>-3408</v>
      </c>
      <c r="T53" s="30">
        <f t="shared" ref="T53:T288" si="12">ROUND(AVERAGE(Q4:Q53),0)</f>
        <v>1294</v>
      </c>
      <c r="U53" s="30"/>
      <c r="V53" s="30"/>
      <c r="W53" s="30"/>
      <c r="X53" s="31">
        <v>1200000.0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2"/>
      <c r="AK53" s="32"/>
      <c r="AL53" s="32"/>
    </row>
    <row r="54" ht="14.25" customHeight="1">
      <c r="A54" s="23">
        <v>53.0</v>
      </c>
      <c r="B54" s="24" t="s">
        <v>28</v>
      </c>
      <c r="C54" s="25" t="s">
        <v>64</v>
      </c>
      <c r="D54" s="24"/>
      <c r="E54" s="24"/>
      <c r="F54" s="24"/>
      <c r="G54" s="24"/>
      <c r="H54" s="24"/>
      <c r="I54" s="24">
        <v>-4522.5</v>
      </c>
      <c r="J54" s="26">
        <v>1438.8900000000003</v>
      </c>
      <c r="K54" s="26"/>
      <c r="L54" s="26"/>
      <c r="M54" s="26"/>
      <c r="N54" s="26">
        <v>25.0</v>
      </c>
      <c r="O54" s="26">
        <f t="shared" si="1"/>
        <v>338</v>
      </c>
      <c r="P54" s="26">
        <f t="shared" si="9"/>
        <v>1777</v>
      </c>
      <c r="Q54" s="27">
        <f t="shared" si="10"/>
        <v>-6300</v>
      </c>
      <c r="R54" s="28">
        <f t="shared" si="4"/>
        <v>50439</v>
      </c>
      <c r="S54" s="29">
        <f t="shared" si="11"/>
        <v>-9708</v>
      </c>
      <c r="T54" s="33">
        <f t="shared" si="12"/>
        <v>1030</v>
      </c>
      <c r="U54" s="30"/>
      <c r="V54" s="30"/>
      <c r="W54" s="30"/>
      <c r="X54" s="31">
        <v>1200000.0</v>
      </c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2"/>
      <c r="AK54" s="32"/>
      <c r="AL54" s="32"/>
    </row>
    <row r="55" ht="14.25" customHeight="1">
      <c r="A55" s="23">
        <v>54.0</v>
      </c>
      <c r="B55" s="24" t="s">
        <v>29</v>
      </c>
      <c r="C55" s="25" t="s">
        <v>65</v>
      </c>
      <c r="D55" s="24"/>
      <c r="E55" s="24"/>
      <c r="F55" s="24"/>
      <c r="G55" s="24"/>
      <c r="H55" s="24"/>
      <c r="I55" s="24">
        <v>1650.5</v>
      </c>
      <c r="J55" s="26">
        <v>693.37</v>
      </c>
      <c r="K55" s="26"/>
      <c r="L55" s="26"/>
      <c r="M55" s="26"/>
      <c r="N55" s="26">
        <v>8.0</v>
      </c>
      <c r="O55" s="26">
        <f t="shared" si="1"/>
        <v>125</v>
      </c>
      <c r="P55" s="26">
        <f t="shared" si="9"/>
        <v>818</v>
      </c>
      <c r="Q55" s="27">
        <f t="shared" si="10"/>
        <v>833</v>
      </c>
      <c r="R55" s="28">
        <f t="shared" si="4"/>
        <v>51272</v>
      </c>
      <c r="S55" s="29">
        <f t="shared" si="11"/>
        <v>-8875</v>
      </c>
      <c r="T55" s="33">
        <f t="shared" si="12"/>
        <v>828</v>
      </c>
      <c r="U55" s="30"/>
      <c r="V55" s="30"/>
      <c r="W55" s="30"/>
      <c r="X55" s="31">
        <v>1200000.0</v>
      </c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2"/>
      <c r="AK55" s="32"/>
      <c r="AL55" s="32"/>
    </row>
    <row r="56" ht="14.25" customHeight="1">
      <c r="A56" s="23">
        <v>55.0</v>
      </c>
      <c r="B56" s="24" t="s">
        <v>30</v>
      </c>
      <c r="C56" s="25" t="s">
        <v>66</v>
      </c>
      <c r="D56" s="24"/>
      <c r="E56" s="24"/>
      <c r="F56" s="24"/>
      <c r="G56" s="24"/>
      <c r="H56" s="24"/>
      <c r="I56" s="24">
        <v>-5513.75</v>
      </c>
      <c r="J56" s="26">
        <v>1074.1900000000005</v>
      </c>
      <c r="K56" s="26"/>
      <c r="L56" s="26"/>
      <c r="M56" s="26"/>
      <c r="N56" s="26">
        <v>15.0</v>
      </c>
      <c r="O56" s="26">
        <f t="shared" si="1"/>
        <v>213</v>
      </c>
      <c r="P56" s="26">
        <f t="shared" si="9"/>
        <v>1287</v>
      </c>
      <c r="Q56" s="27">
        <f t="shared" si="10"/>
        <v>-6801</v>
      </c>
      <c r="R56" s="28">
        <f t="shared" si="4"/>
        <v>44471</v>
      </c>
      <c r="S56" s="29">
        <f t="shared" si="11"/>
        <v>-15676</v>
      </c>
      <c r="T56" s="33">
        <f t="shared" si="12"/>
        <v>508</v>
      </c>
      <c r="U56" s="30"/>
      <c r="V56" s="30"/>
      <c r="W56" s="30"/>
      <c r="X56" s="31">
        <v>1200000.0</v>
      </c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2"/>
      <c r="AK56" s="32"/>
      <c r="AL56" s="32"/>
    </row>
    <row r="57" ht="14.25" customHeight="1">
      <c r="A57" s="23">
        <v>56.0</v>
      </c>
      <c r="B57" s="24" t="s">
        <v>26</v>
      </c>
      <c r="C57" s="25" t="s">
        <v>67</v>
      </c>
      <c r="D57" s="24"/>
      <c r="E57" s="24"/>
      <c r="F57" s="24"/>
      <c r="G57" s="24"/>
      <c r="H57" s="24"/>
      <c r="I57" s="24">
        <v>17140.0</v>
      </c>
      <c r="J57" s="26">
        <v>561.0699999999997</v>
      </c>
      <c r="K57" s="26"/>
      <c r="L57" s="26"/>
      <c r="M57" s="26"/>
      <c r="N57" s="26">
        <v>15.0</v>
      </c>
      <c r="O57" s="26">
        <f t="shared" si="1"/>
        <v>213</v>
      </c>
      <c r="P57" s="26">
        <f t="shared" si="9"/>
        <v>774</v>
      </c>
      <c r="Q57" s="27">
        <f t="shared" si="10"/>
        <v>16366</v>
      </c>
      <c r="R57" s="28">
        <f t="shared" si="4"/>
        <v>60837</v>
      </c>
      <c r="S57" s="29">
        <f t="shared" si="11"/>
        <v>0</v>
      </c>
      <c r="T57" s="33">
        <f t="shared" si="12"/>
        <v>917</v>
      </c>
      <c r="U57" s="30"/>
      <c r="V57" s="30"/>
      <c r="W57" s="30"/>
      <c r="X57" s="31">
        <v>1200000.0</v>
      </c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2"/>
      <c r="AK57" s="32"/>
      <c r="AL57" s="32"/>
    </row>
    <row r="58" ht="14.25" customHeight="1">
      <c r="A58" s="23">
        <v>57.0</v>
      </c>
      <c r="B58" s="24" t="s">
        <v>27</v>
      </c>
      <c r="C58" s="25" t="s">
        <v>68</v>
      </c>
      <c r="D58" s="24"/>
      <c r="E58" s="24"/>
      <c r="F58" s="24"/>
      <c r="G58" s="24"/>
      <c r="H58" s="24"/>
      <c r="I58" s="24">
        <v>3108.75</v>
      </c>
      <c r="J58" s="26">
        <v>347.52</v>
      </c>
      <c r="K58" s="26"/>
      <c r="L58" s="26"/>
      <c r="M58" s="26"/>
      <c r="N58" s="26">
        <v>15.0</v>
      </c>
      <c r="O58" s="26">
        <f t="shared" si="1"/>
        <v>213</v>
      </c>
      <c r="P58" s="26">
        <f t="shared" si="9"/>
        <v>561</v>
      </c>
      <c r="Q58" s="27">
        <f t="shared" si="10"/>
        <v>2548</v>
      </c>
      <c r="R58" s="28">
        <f t="shared" si="4"/>
        <v>63385</v>
      </c>
      <c r="S58" s="29">
        <f t="shared" si="11"/>
        <v>0</v>
      </c>
      <c r="T58" s="33">
        <f t="shared" si="12"/>
        <v>886</v>
      </c>
      <c r="U58" s="30"/>
      <c r="V58" s="30"/>
      <c r="W58" s="30"/>
      <c r="X58" s="31">
        <v>1200000.0</v>
      </c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2"/>
      <c r="AK58" s="32"/>
      <c r="AL58" s="32"/>
    </row>
    <row r="59" ht="14.25" customHeight="1">
      <c r="A59" s="23">
        <v>58.0</v>
      </c>
      <c r="B59" s="24" t="s">
        <v>28</v>
      </c>
      <c r="C59" s="25" t="s">
        <v>69</v>
      </c>
      <c r="D59" s="24"/>
      <c r="E59" s="24"/>
      <c r="F59" s="24"/>
      <c r="G59" s="24"/>
      <c r="H59" s="24"/>
      <c r="I59" s="24">
        <v>8546.25</v>
      </c>
      <c r="J59" s="26">
        <v>512.0799999999999</v>
      </c>
      <c r="K59" s="26"/>
      <c r="L59" s="26"/>
      <c r="M59" s="26"/>
      <c r="N59" s="26">
        <v>15.0</v>
      </c>
      <c r="O59" s="26">
        <f t="shared" si="1"/>
        <v>213</v>
      </c>
      <c r="P59" s="26">
        <f t="shared" si="9"/>
        <v>725</v>
      </c>
      <c r="Q59" s="27">
        <f t="shared" si="10"/>
        <v>7821</v>
      </c>
      <c r="R59" s="28">
        <f t="shared" si="4"/>
        <v>71206</v>
      </c>
      <c r="S59" s="29">
        <f t="shared" si="11"/>
        <v>0</v>
      </c>
      <c r="T59" s="30">
        <f t="shared" si="12"/>
        <v>763</v>
      </c>
      <c r="U59" s="30"/>
      <c r="V59" s="30"/>
      <c r="W59" s="30"/>
      <c r="X59" s="31">
        <v>1200000.0</v>
      </c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2"/>
      <c r="AK59" s="32"/>
      <c r="AL59" s="32"/>
    </row>
    <row r="60" ht="14.25" customHeight="1">
      <c r="A60" s="23">
        <v>59.0</v>
      </c>
      <c r="B60" s="24" t="s">
        <v>29</v>
      </c>
      <c r="C60" s="25" t="s">
        <v>70</v>
      </c>
      <c r="D60" s="24"/>
      <c r="E60" s="24"/>
      <c r="F60" s="24"/>
      <c r="G60" s="24"/>
      <c r="H60" s="24"/>
      <c r="I60" s="24">
        <v>-4011.0</v>
      </c>
      <c r="J60" s="26">
        <v>664.75</v>
      </c>
      <c r="K60" s="26"/>
      <c r="L60" s="26"/>
      <c r="M60" s="26"/>
      <c r="N60" s="26">
        <v>15.0</v>
      </c>
      <c r="O60" s="26">
        <f t="shared" si="1"/>
        <v>213</v>
      </c>
      <c r="P60" s="26">
        <f t="shared" si="9"/>
        <v>878</v>
      </c>
      <c r="Q60" s="27">
        <f t="shared" si="10"/>
        <v>-4889</v>
      </c>
      <c r="R60" s="28">
        <f t="shared" si="4"/>
        <v>66317</v>
      </c>
      <c r="S60" s="29">
        <f t="shared" si="11"/>
        <v>-4889</v>
      </c>
      <c r="T60" s="33">
        <f t="shared" si="12"/>
        <v>645</v>
      </c>
      <c r="U60" s="30"/>
      <c r="V60" s="30"/>
      <c r="W60" s="30"/>
      <c r="X60" s="31">
        <v>1200000.0</v>
      </c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2"/>
      <c r="AK60" s="32"/>
      <c r="AL60" s="32"/>
    </row>
    <row r="61" ht="14.25" customHeight="1">
      <c r="A61" s="23">
        <v>60.0</v>
      </c>
      <c r="B61" s="24" t="s">
        <v>30</v>
      </c>
      <c r="C61" s="25" t="s">
        <v>71</v>
      </c>
      <c r="D61" s="24"/>
      <c r="E61" s="24"/>
      <c r="F61" s="24"/>
      <c r="G61" s="24"/>
      <c r="H61" s="24"/>
      <c r="I61" s="24">
        <v>-12775.5</v>
      </c>
      <c r="J61" s="26">
        <v>768.960000000001</v>
      </c>
      <c r="K61" s="26"/>
      <c r="L61" s="26"/>
      <c r="M61" s="26"/>
      <c r="N61" s="26">
        <v>15.0</v>
      </c>
      <c r="O61" s="26">
        <f t="shared" si="1"/>
        <v>213</v>
      </c>
      <c r="P61" s="26">
        <f t="shared" si="9"/>
        <v>982</v>
      </c>
      <c r="Q61" s="27">
        <f t="shared" si="10"/>
        <v>-13758</v>
      </c>
      <c r="R61" s="28">
        <f t="shared" si="4"/>
        <v>52559</v>
      </c>
      <c r="S61" s="29">
        <f t="shared" si="11"/>
        <v>-18647</v>
      </c>
      <c r="T61" s="30">
        <f t="shared" si="12"/>
        <v>252</v>
      </c>
      <c r="U61" s="30"/>
      <c r="V61" s="30"/>
      <c r="W61" s="30"/>
      <c r="X61" s="31">
        <v>1200000.0</v>
      </c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2"/>
      <c r="AK61" s="32"/>
      <c r="AL61" s="32"/>
    </row>
    <row r="62" ht="14.25" customHeight="1">
      <c r="A62" s="23">
        <v>61.0</v>
      </c>
      <c r="B62" s="24" t="s">
        <v>26</v>
      </c>
      <c r="C62" s="25" t="s">
        <v>72</v>
      </c>
      <c r="D62" s="24"/>
      <c r="E62" s="24"/>
      <c r="F62" s="24"/>
      <c r="G62" s="24"/>
      <c r="H62" s="24"/>
      <c r="I62" s="24">
        <v>-51895.0</v>
      </c>
      <c r="J62" s="26">
        <v>1399.4700000000012</v>
      </c>
      <c r="K62" s="26"/>
      <c r="L62" s="26"/>
      <c r="M62" s="26"/>
      <c r="N62" s="26">
        <v>15.0</v>
      </c>
      <c r="O62" s="26">
        <f t="shared" si="1"/>
        <v>213</v>
      </c>
      <c r="P62" s="26">
        <f t="shared" si="9"/>
        <v>1612</v>
      </c>
      <c r="Q62" s="27">
        <f t="shared" si="10"/>
        <v>-53507</v>
      </c>
      <c r="R62" s="28">
        <f t="shared" si="4"/>
        <v>-948</v>
      </c>
      <c r="S62" s="29">
        <f t="shared" si="11"/>
        <v>-72154</v>
      </c>
      <c r="T62" s="33">
        <f t="shared" si="12"/>
        <v>-845</v>
      </c>
      <c r="U62" s="30"/>
      <c r="V62" s="30"/>
      <c r="W62" s="30"/>
      <c r="X62" s="31">
        <v>1200000.0</v>
      </c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2"/>
      <c r="AK62" s="32"/>
      <c r="AL62" s="32"/>
    </row>
    <row r="63" ht="14.25" customHeight="1">
      <c r="A63" s="23">
        <v>62.0</v>
      </c>
      <c r="B63" s="24" t="s">
        <v>27</v>
      </c>
      <c r="C63" s="25" t="s">
        <v>73</v>
      </c>
      <c r="D63" s="24"/>
      <c r="E63" s="24"/>
      <c r="F63" s="24"/>
      <c r="G63" s="24"/>
      <c r="H63" s="24"/>
      <c r="I63" s="24">
        <v>10497.0</v>
      </c>
      <c r="J63" s="26">
        <v>255.54999999999927</v>
      </c>
      <c r="K63" s="26"/>
      <c r="L63" s="26"/>
      <c r="M63" s="26"/>
      <c r="N63" s="26">
        <v>15.0</v>
      </c>
      <c r="O63" s="26">
        <f t="shared" si="1"/>
        <v>213</v>
      </c>
      <c r="P63" s="26">
        <f t="shared" si="9"/>
        <v>469</v>
      </c>
      <c r="Q63" s="27">
        <f t="shared" si="10"/>
        <v>10028</v>
      </c>
      <c r="R63" s="28">
        <f t="shared" si="4"/>
        <v>9080</v>
      </c>
      <c r="S63" s="29">
        <f t="shared" si="11"/>
        <v>-62126</v>
      </c>
      <c r="T63" s="33">
        <f t="shared" si="12"/>
        <v>-645</v>
      </c>
      <c r="U63" s="30"/>
      <c r="V63" s="30"/>
      <c r="W63" s="30"/>
      <c r="X63" s="31">
        <v>1200000.0</v>
      </c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2"/>
      <c r="AK63" s="32"/>
      <c r="AL63" s="32"/>
    </row>
    <row r="64" ht="14.25" customHeight="1">
      <c r="A64" s="23">
        <v>63.0</v>
      </c>
      <c r="B64" s="24" t="s">
        <v>28</v>
      </c>
      <c r="C64" s="25" t="s">
        <v>74</v>
      </c>
      <c r="D64" s="24"/>
      <c r="E64" s="24"/>
      <c r="F64" s="24"/>
      <c r="G64" s="24"/>
      <c r="H64" s="24"/>
      <c r="I64" s="24">
        <v>1209.0</v>
      </c>
      <c r="J64" s="26">
        <v>1748.69</v>
      </c>
      <c r="K64" s="26"/>
      <c r="L64" s="26"/>
      <c r="M64" s="26"/>
      <c r="N64" s="26">
        <v>15.0</v>
      </c>
      <c r="O64" s="26">
        <f t="shared" si="1"/>
        <v>213</v>
      </c>
      <c r="P64" s="26">
        <f t="shared" si="9"/>
        <v>1962</v>
      </c>
      <c r="Q64" s="27">
        <f t="shared" si="10"/>
        <v>-753</v>
      </c>
      <c r="R64" s="28">
        <f t="shared" si="4"/>
        <v>8327</v>
      </c>
      <c r="S64" s="29">
        <f t="shared" si="11"/>
        <v>-62879</v>
      </c>
      <c r="T64" s="30">
        <f t="shared" si="12"/>
        <v>-650</v>
      </c>
      <c r="U64" s="30"/>
      <c r="V64" s="30"/>
      <c r="W64" s="30"/>
      <c r="X64" s="31">
        <v>1200000.0</v>
      </c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2"/>
      <c r="AK64" s="32"/>
      <c r="AL64" s="32"/>
    </row>
    <row r="65" ht="14.25" customHeight="1">
      <c r="A65" s="23">
        <v>64.0</v>
      </c>
      <c r="B65" s="24" t="s">
        <v>29</v>
      </c>
      <c r="C65" s="25" t="s">
        <v>75</v>
      </c>
      <c r="D65" s="24"/>
      <c r="E65" s="24"/>
      <c r="F65" s="24"/>
      <c r="G65" s="24"/>
      <c r="H65" s="24"/>
      <c r="I65" s="24">
        <v>13958.0</v>
      </c>
      <c r="J65" s="26">
        <v>317.60000000000036</v>
      </c>
      <c r="K65" s="26"/>
      <c r="L65" s="26"/>
      <c r="M65" s="26"/>
      <c r="N65" s="26">
        <v>15.0</v>
      </c>
      <c r="O65" s="26">
        <f t="shared" si="1"/>
        <v>213</v>
      </c>
      <c r="P65" s="26">
        <f t="shared" si="9"/>
        <v>531</v>
      </c>
      <c r="Q65" s="27">
        <f t="shared" si="10"/>
        <v>13427</v>
      </c>
      <c r="R65" s="28">
        <f t="shared" si="4"/>
        <v>21754</v>
      </c>
      <c r="S65" s="29">
        <f t="shared" si="11"/>
        <v>-49452</v>
      </c>
      <c r="T65" s="33">
        <f t="shared" si="12"/>
        <v>-107</v>
      </c>
      <c r="U65" s="30"/>
      <c r="V65" s="30"/>
      <c r="W65" s="30"/>
      <c r="X65" s="31">
        <v>1200000.0</v>
      </c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2"/>
      <c r="AK65" s="32"/>
      <c r="AL65" s="32"/>
    </row>
    <row r="66" ht="14.25" customHeight="1">
      <c r="A66" s="23">
        <v>65.0</v>
      </c>
      <c r="B66" s="24" t="s">
        <v>30</v>
      </c>
      <c r="C66" s="25" t="s">
        <v>76</v>
      </c>
      <c r="D66" s="24"/>
      <c r="E66" s="24"/>
      <c r="F66" s="24"/>
      <c r="G66" s="24"/>
      <c r="H66" s="24"/>
      <c r="I66" s="24">
        <v>1683.75</v>
      </c>
      <c r="J66" s="26">
        <v>108.31999999999994</v>
      </c>
      <c r="K66" s="26"/>
      <c r="L66" s="26"/>
      <c r="M66" s="26"/>
      <c r="N66" s="26">
        <v>6.0</v>
      </c>
      <c r="O66" s="26">
        <f t="shared" si="1"/>
        <v>100</v>
      </c>
      <c r="P66" s="26">
        <f t="shared" si="9"/>
        <v>208</v>
      </c>
      <c r="Q66" s="27">
        <f t="shared" si="10"/>
        <v>1476</v>
      </c>
      <c r="R66" s="28">
        <f t="shared" si="4"/>
        <v>23230</v>
      </c>
      <c r="S66" s="29">
        <f t="shared" si="11"/>
        <v>-47976</v>
      </c>
      <c r="T66" s="30">
        <f t="shared" si="12"/>
        <v>-189</v>
      </c>
      <c r="U66" s="30"/>
      <c r="V66" s="30"/>
      <c r="W66" s="30"/>
      <c r="X66" s="31">
        <v>1200000.0</v>
      </c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2"/>
      <c r="AK66" s="32"/>
      <c r="AL66" s="32"/>
    </row>
    <row r="67" ht="14.25" customHeight="1">
      <c r="A67" s="23">
        <v>66.0</v>
      </c>
      <c r="B67" s="24" t="s">
        <v>26</v>
      </c>
      <c r="C67" s="25" t="s">
        <v>77</v>
      </c>
      <c r="D67" s="24"/>
      <c r="E67" s="24"/>
      <c r="F67" s="24"/>
      <c r="G67" s="24"/>
      <c r="H67" s="24"/>
      <c r="I67" s="24">
        <v>18521.0</v>
      </c>
      <c r="J67" s="26">
        <v>197.47000000000116</v>
      </c>
      <c r="K67" s="26"/>
      <c r="L67" s="26"/>
      <c r="M67" s="26"/>
      <c r="N67" s="26">
        <v>6.0</v>
      </c>
      <c r="O67" s="26">
        <f t="shared" si="1"/>
        <v>100</v>
      </c>
      <c r="P67" s="26">
        <f t="shared" si="9"/>
        <v>297</v>
      </c>
      <c r="Q67" s="27">
        <f t="shared" si="10"/>
        <v>18224</v>
      </c>
      <c r="R67" s="28">
        <f t="shared" si="4"/>
        <v>41454</v>
      </c>
      <c r="S67" s="29">
        <f t="shared" si="11"/>
        <v>-29752</v>
      </c>
      <c r="T67" s="33">
        <f t="shared" si="12"/>
        <v>179</v>
      </c>
      <c r="U67" s="30"/>
      <c r="V67" s="30"/>
      <c r="W67" s="30"/>
      <c r="X67" s="31">
        <v>1200000.0</v>
      </c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2"/>
      <c r="AK67" s="32"/>
      <c r="AL67" s="32"/>
    </row>
    <row r="68" ht="14.25" customHeight="1">
      <c r="A68" s="23">
        <v>67.0</v>
      </c>
      <c r="B68" s="24" t="s">
        <v>27</v>
      </c>
      <c r="C68" s="25" t="s">
        <v>78</v>
      </c>
      <c r="D68" s="24"/>
      <c r="E68" s="24"/>
      <c r="F68" s="24"/>
      <c r="G68" s="24"/>
      <c r="H68" s="24"/>
      <c r="I68" s="24">
        <v>2216.25</v>
      </c>
      <c r="J68" s="26">
        <v>272.06999999999994</v>
      </c>
      <c r="K68" s="26"/>
      <c r="L68" s="26"/>
      <c r="M68" s="26"/>
      <c r="N68" s="26">
        <v>6.0</v>
      </c>
      <c r="O68" s="26">
        <f t="shared" si="1"/>
        <v>100</v>
      </c>
      <c r="P68" s="26">
        <f t="shared" si="9"/>
        <v>372</v>
      </c>
      <c r="Q68" s="27">
        <f t="shared" si="10"/>
        <v>1844</v>
      </c>
      <c r="R68" s="28">
        <f t="shared" si="4"/>
        <v>43298</v>
      </c>
      <c r="S68" s="29">
        <f t="shared" si="11"/>
        <v>-27908</v>
      </c>
      <c r="T68" s="33">
        <f t="shared" si="12"/>
        <v>188</v>
      </c>
      <c r="U68" s="30"/>
      <c r="V68" s="30"/>
      <c r="W68" s="30"/>
      <c r="X68" s="31">
        <v>1200000.0</v>
      </c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2"/>
      <c r="AK68" s="32"/>
      <c r="AL68" s="32"/>
    </row>
    <row r="69" ht="14.25" customHeight="1">
      <c r="A69" s="23">
        <v>68.0</v>
      </c>
      <c r="B69" s="24" t="s">
        <v>28</v>
      </c>
      <c r="C69" s="25" t="s">
        <v>79</v>
      </c>
      <c r="D69" s="24"/>
      <c r="E69" s="24"/>
      <c r="F69" s="24"/>
      <c r="G69" s="24"/>
      <c r="H69" s="24"/>
      <c r="I69" s="24">
        <v>1826.25</v>
      </c>
      <c r="J69" s="26">
        <v>1133.73</v>
      </c>
      <c r="K69" s="26"/>
      <c r="L69" s="26"/>
      <c r="M69" s="26"/>
      <c r="N69" s="26">
        <v>16.0</v>
      </c>
      <c r="O69" s="26">
        <f t="shared" si="1"/>
        <v>225</v>
      </c>
      <c r="P69" s="26">
        <f t="shared" si="9"/>
        <v>1359</v>
      </c>
      <c r="Q69" s="27">
        <f t="shared" si="10"/>
        <v>467</v>
      </c>
      <c r="R69" s="28">
        <f t="shared" si="4"/>
        <v>43765</v>
      </c>
      <c r="S69" s="29">
        <f t="shared" si="11"/>
        <v>-27441</v>
      </c>
      <c r="T69" s="30">
        <f t="shared" si="12"/>
        <v>482</v>
      </c>
      <c r="U69" s="30"/>
      <c r="V69" s="30"/>
      <c r="W69" s="30"/>
      <c r="X69" s="31">
        <v>1200000.0</v>
      </c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2"/>
      <c r="AK69" s="32"/>
      <c r="AL69" s="32"/>
    </row>
    <row r="70" ht="14.25" customHeight="1">
      <c r="A70" s="23">
        <v>69.0</v>
      </c>
      <c r="B70" s="24" t="s">
        <v>29</v>
      </c>
      <c r="C70" s="25" t="s">
        <v>80</v>
      </c>
      <c r="D70" s="24"/>
      <c r="E70" s="24"/>
      <c r="F70" s="24"/>
      <c r="G70" s="24"/>
      <c r="H70" s="24"/>
      <c r="I70" s="24">
        <v>4822.0</v>
      </c>
      <c r="J70" s="26">
        <v>488.3699999999999</v>
      </c>
      <c r="K70" s="26"/>
      <c r="L70" s="26"/>
      <c r="M70" s="26"/>
      <c r="N70" s="26">
        <v>6.0</v>
      </c>
      <c r="O70" s="26">
        <f t="shared" si="1"/>
        <v>100</v>
      </c>
      <c r="P70" s="26">
        <f t="shared" si="9"/>
        <v>588</v>
      </c>
      <c r="Q70" s="27">
        <f t="shared" si="10"/>
        <v>4234</v>
      </c>
      <c r="R70" s="28">
        <f t="shared" si="4"/>
        <v>47999</v>
      </c>
      <c r="S70" s="29">
        <f t="shared" si="11"/>
        <v>-23207</v>
      </c>
      <c r="T70" s="30">
        <f t="shared" si="12"/>
        <v>909</v>
      </c>
      <c r="U70" s="30"/>
      <c r="V70" s="30"/>
      <c r="W70" s="30"/>
      <c r="X70" s="31">
        <v>1200000.0</v>
      </c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2"/>
      <c r="AK70" s="32"/>
      <c r="AL70" s="32"/>
    </row>
    <row r="71" ht="14.25" customHeight="1">
      <c r="A71" s="23">
        <v>70.0</v>
      </c>
      <c r="B71" s="24" t="s">
        <v>30</v>
      </c>
      <c r="C71" s="25" t="s">
        <v>81</v>
      </c>
      <c r="D71" s="24"/>
      <c r="E71" s="24"/>
      <c r="F71" s="24"/>
      <c r="G71" s="24"/>
      <c r="H71" s="24"/>
      <c r="I71" s="24">
        <v>1162.5</v>
      </c>
      <c r="J71" s="26">
        <v>41.3900000000001</v>
      </c>
      <c r="K71" s="26"/>
      <c r="L71" s="26"/>
      <c r="M71" s="26"/>
      <c r="N71" s="26">
        <v>9.0</v>
      </c>
      <c r="O71" s="26">
        <f t="shared" si="1"/>
        <v>138</v>
      </c>
      <c r="P71" s="26">
        <f t="shared" si="9"/>
        <v>179</v>
      </c>
      <c r="Q71" s="27">
        <f t="shared" si="10"/>
        <v>984</v>
      </c>
      <c r="R71" s="28">
        <f t="shared" si="4"/>
        <v>48983</v>
      </c>
      <c r="S71" s="29">
        <f t="shared" si="11"/>
        <v>-22223</v>
      </c>
      <c r="T71" s="30">
        <f t="shared" si="12"/>
        <v>1033</v>
      </c>
      <c r="U71" s="30"/>
      <c r="V71" s="30"/>
      <c r="W71" s="30"/>
      <c r="X71" s="31">
        <v>1200000.0</v>
      </c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2"/>
      <c r="AK71" s="32"/>
      <c r="AL71" s="32"/>
    </row>
    <row r="72" ht="14.25" customHeight="1">
      <c r="A72" s="23">
        <v>71.0</v>
      </c>
      <c r="B72" s="24" t="s">
        <v>26</v>
      </c>
      <c r="C72" s="25" t="s">
        <v>82</v>
      </c>
      <c r="D72" s="24"/>
      <c r="E72" s="24"/>
      <c r="F72" s="24"/>
      <c r="G72" s="24"/>
      <c r="H72" s="24"/>
      <c r="I72" s="24">
        <v>15795.75</v>
      </c>
      <c r="J72" s="26">
        <v>355.78000000000065</v>
      </c>
      <c r="K72" s="26"/>
      <c r="L72" s="26"/>
      <c r="M72" s="26"/>
      <c r="N72" s="26">
        <v>9.0</v>
      </c>
      <c r="O72" s="26">
        <f t="shared" si="1"/>
        <v>138</v>
      </c>
      <c r="P72" s="26">
        <f t="shared" si="9"/>
        <v>494</v>
      </c>
      <c r="Q72" s="27">
        <f t="shared" si="10"/>
        <v>15302</v>
      </c>
      <c r="R72" s="28">
        <f t="shared" si="4"/>
        <v>64285</v>
      </c>
      <c r="S72" s="29">
        <f t="shared" si="11"/>
        <v>-6921</v>
      </c>
      <c r="T72" s="30">
        <f t="shared" si="12"/>
        <v>1335</v>
      </c>
      <c r="U72" s="30"/>
      <c r="V72" s="30"/>
      <c r="W72" s="30"/>
      <c r="X72" s="31">
        <v>1200000.0</v>
      </c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2"/>
      <c r="AK72" s="32"/>
      <c r="AL72" s="32"/>
    </row>
    <row r="73" ht="14.25" customHeight="1">
      <c r="A73" s="23">
        <v>72.0</v>
      </c>
      <c r="B73" s="24" t="s">
        <v>27</v>
      </c>
      <c r="C73" s="25" t="s">
        <v>83</v>
      </c>
      <c r="D73" s="24"/>
      <c r="E73" s="24"/>
      <c r="F73" s="24"/>
      <c r="G73" s="24"/>
      <c r="H73" s="24"/>
      <c r="I73" s="24">
        <v>2302.5</v>
      </c>
      <c r="J73" s="26">
        <v>147.9699999999998</v>
      </c>
      <c r="K73" s="26"/>
      <c r="L73" s="26"/>
      <c r="M73" s="26"/>
      <c r="N73" s="26">
        <v>9.0</v>
      </c>
      <c r="O73" s="26">
        <f t="shared" si="1"/>
        <v>138</v>
      </c>
      <c r="P73" s="26">
        <f t="shared" si="9"/>
        <v>286</v>
      </c>
      <c r="Q73" s="27">
        <f t="shared" si="10"/>
        <v>2017</v>
      </c>
      <c r="R73" s="28">
        <f t="shared" si="4"/>
        <v>66302</v>
      </c>
      <c r="S73" s="29">
        <f t="shared" si="11"/>
        <v>-4904</v>
      </c>
      <c r="T73" s="30">
        <f t="shared" si="12"/>
        <v>1529</v>
      </c>
      <c r="U73" s="30"/>
      <c r="V73" s="30"/>
      <c r="W73" s="30"/>
      <c r="X73" s="31">
        <v>1200000.0</v>
      </c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2"/>
      <c r="AK73" s="32"/>
      <c r="AL73" s="32"/>
    </row>
    <row r="74" ht="14.25" customHeight="1">
      <c r="A74" s="23">
        <v>73.0</v>
      </c>
      <c r="B74" s="24" t="s">
        <v>28</v>
      </c>
      <c r="C74" s="25" t="s">
        <v>84</v>
      </c>
      <c r="D74" s="24"/>
      <c r="E74" s="24"/>
      <c r="F74" s="24"/>
      <c r="G74" s="24"/>
      <c r="H74" s="24"/>
      <c r="I74" s="24">
        <v>3502.5</v>
      </c>
      <c r="J74" s="26">
        <v>384.78999999999996</v>
      </c>
      <c r="K74" s="26"/>
      <c r="L74" s="26"/>
      <c r="M74" s="26"/>
      <c r="N74" s="26">
        <v>9.0</v>
      </c>
      <c r="O74" s="26">
        <f t="shared" si="1"/>
        <v>138</v>
      </c>
      <c r="P74" s="26">
        <f t="shared" si="9"/>
        <v>523</v>
      </c>
      <c r="Q74" s="27">
        <f t="shared" si="10"/>
        <v>2980</v>
      </c>
      <c r="R74" s="28">
        <f t="shared" si="4"/>
        <v>69282</v>
      </c>
      <c r="S74" s="29">
        <f t="shared" si="11"/>
        <v>-1924</v>
      </c>
      <c r="T74" s="30">
        <f t="shared" si="12"/>
        <v>1517</v>
      </c>
      <c r="U74" s="30"/>
      <c r="V74" s="30"/>
      <c r="W74" s="30"/>
      <c r="X74" s="31">
        <v>1200000.0</v>
      </c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2"/>
      <c r="AK74" s="32"/>
      <c r="AL74" s="32"/>
    </row>
    <row r="75" ht="14.25" customHeight="1">
      <c r="A75" s="34">
        <v>74.0</v>
      </c>
      <c r="B75" s="24" t="s">
        <v>29</v>
      </c>
      <c r="C75" s="35">
        <v>45849.0</v>
      </c>
      <c r="D75" s="24"/>
      <c r="E75" s="24"/>
      <c r="F75" s="24"/>
      <c r="G75" s="24"/>
      <c r="H75" s="24"/>
      <c r="I75" s="24">
        <v>-4667.75</v>
      </c>
      <c r="J75" s="26">
        <v>210.0</v>
      </c>
      <c r="K75" s="26"/>
      <c r="L75" s="26"/>
      <c r="M75" s="26"/>
      <c r="N75" s="26">
        <v>12.0</v>
      </c>
      <c r="O75" s="26">
        <f t="shared" si="1"/>
        <v>175</v>
      </c>
      <c r="P75" s="26">
        <f t="shared" si="9"/>
        <v>385</v>
      </c>
      <c r="Q75" s="27">
        <f t="shared" si="10"/>
        <v>-5053</v>
      </c>
      <c r="R75" s="28">
        <f t="shared" si="4"/>
        <v>64229</v>
      </c>
      <c r="S75" s="29">
        <f t="shared" si="11"/>
        <v>-6977</v>
      </c>
      <c r="T75" s="30">
        <f t="shared" si="12"/>
        <v>1494</v>
      </c>
      <c r="U75" s="30"/>
      <c r="V75" s="30"/>
      <c r="W75" s="30"/>
      <c r="X75" s="31">
        <v>1200000.0</v>
      </c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2"/>
      <c r="AK75" s="32"/>
      <c r="AL75" s="32"/>
    </row>
    <row r="76" ht="14.25" customHeight="1">
      <c r="A76" s="23">
        <v>75.0</v>
      </c>
      <c r="B76" s="24" t="s">
        <v>30</v>
      </c>
      <c r="C76" s="25" t="s">
        <v>85</v>
      </c>
      <c r="D76" s="24"/>
      <c r="E76" s="24"/>
      <c r="F76" s="24"/>
      <c r="G76" s="24"/>
      <c r="H76" s="24"/>
      <c r="I76" s="24">
        <v>1533.75</v>
      </c>
      <c r="J76" s="26">
        <v>159.23000000000002</v>
      </c>
      <c r="K76" s="26"/>
      <c r="L76" s="26"/>
      <c r="M76" s="26"/>
      <c r="N76" s="26">
        <v>6.0</v>
      </c>
      <c r="O76" s="26">
        <f t="shared" si="1"/>
        <v>100</v>
      </c>
      <c r="P76" s="26">
        <f t="shared" si="9"/>
        <v>259</v>
      </c>
      <c r="Q76" s="27">
        <f t="shared" si="10"/>
        <v>1275</v>
      </c>
      <c r="R76" s="28">
        <f t="shared" si="4"/>
        <v>65504</v>
      </c>
      <c r="S76" s="29">
        <f t="shared" si="11"/>
        <v>-5702</v>
      </c>
      <c r="T76" s="30">
        <f t="shared" si="12"/>
        <v>1426</v>
      </c>
      <c r="U76" s="30"/>
      <c r="V76" s="30"/>
      <c r="W76" s="30"/>
      <c r="X76" s="31">
        <v>1200000.0</v>
      </c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2"/>
      <c r="AK76" s="32"/>
      <c r="AL76" s="32"/>
    </row>
    <row r="77" ht="14.25" customHeight="1">
      <c r="A77" s="23">
        <v>76.0</v>
      </c>
      <c r="B77" s="24" t="s">
        <v>26</v>
      </c>
      <c r="C77" s="25" t="s">
        <v>86</v>
      </c>
      <c r="D77" s="24"/>
      <c r="E77" s="24"/>
      <c r="F77" s="24"/>
      <c r="G77" s="24"/>
      <c r="H77" s="24"/>
      <c r="I77" s="24">
        <v>8876.25</v>
      </c>
      <c r="J77" s="26">
        <v>536.1200000000008</v>
      </c>
      <c r="K77" s="26"/>
      <c r="L77" s="26"/>
      <c r="M77" s="26"/>
      <c r="N77" s="26">
        <v>6.0</v>
      </c>
      <c r="O77" s="26">
        <f t="shared" si="1"/>
        <v>100</v>
      </c>
      <c r="P77" s="26">
        <f t="shared" si="9"/>
        <v>636</v>
      </c>
      <c r="Q77" s="27">
        <f t="shared" si="10"/>
        <v>8240</v>
      </c>
      <c r="R77" s="28">
        <f t="shared" si="4"/>
        <v>73744</v>
      </c>
      <c r="S77" s="29">
        <f t="shared" si="11"/>
        <v>0</v>
      </c>
      <c r="T77" s="30">
        <f t="shared" si="12"/>
        <v>1527</v>
      </c>
      <c r="U77" s="30"/>
      <c r="V77" s="30"/>
      <c r="W77" s="30"/>
      <c r="X77" s="31">
        <v>1200000.0</v>
      </c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2"/>
      <c r="AK77" s="32"/>
      <c r="AL77" s="32"/>
    </row>
    <row r="78" ht="14.25" customHeight="1">
      <c r="A78" s="23">
        <v>77.0</v>
      </c>
      <c r="B78" s="24" t="s">
        <v>27</v>
      </c>
      <c r="C78" s="25" t="s">
        <v>87</v>
      </c>
      <c r="D78" s="24"/>
      <c r="E78" s="24"/>
      <c r="F78" s="24"/>
      <c r="G78" s="24"/>
      <c r="H78" s="24"/>
      <c r="I78" s="24">
        <v>-858.75</v>
      </c>
      <c r="J78" s="26">
        <v>130.61</v>
      </c>
      <c r="K78" s="26"/>
      <c r="L78" s="26"/>
      <c r="M78" s="26"/>
      <c r="N78" s="26">
        <v>6.0</v>
      </c>
      <c r="O78" s="26">
        <f t="shared" si="1"/>
        <v>100</v>
      </c>
      <c r="P78" s="26">
        <f t="shared" si="9"/>
        <v>231</v>
      </c>
      <c r="Q78" s="27">
        <f t="shared" si="10"/>
        <v>-1090</v>
      </c>
      <c r="R78" s="28">
        <f t="shared" si="4"/>
        <v>72654</v>
      </c>
      <c r="S78" s="29">
        <f t="shared" si="11"/>
        <v>-1090</v>
      </c>
      <c r="T78" s="30">
        <f t="shared" si="12"/>
        <v>1431</v>
      </c>
      <c r="U78" s="30"/>
      <c r="V78" s="30"/>
      <c r="W78" s="30"/>
      <c r="X78" s="31">
        <v>1200000.0</v>
      </c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2"/>
      <c r="AK78" s="32"/>
      <c r="AL78" s="32"/>
    </row>
    <row r="79" ht="14.25" customHeight="1">
      <c r="A79" s="23">
        <v>78.0</v>
      </c>
      <c r="B79" s="24" t="s">
        <v>28</v>
      </c>
      <c r="C79" s="25" t="s">
        <v>88</v>
      </c>
      <c r="D79" s="24"/>
      <c r="E79" s="24"/>
      <c r="F79" s="24"/>
      <c r="G79" s="24"/>
      <c r="H79" s="24"/>
      <c r="I79" s="24">
        <v>10560.0</v>
      </c>
      <c r="J79" s="26">
        <v>265.9500000000007</v>
      </c>
      <c r="K79" s="26"/>
      <c r="L79" s="26"/>
      <c r="M79" s="26"/>
      <c r="N79" s="26">
        <v>6.0</v>
      </c>
      <c r="O79" s="26">
        <f t="shared" si="1"/>
        <v>100</v>
      </c>
      <c r="P79" s="26">
        <f t="shared" si="9"/>
        <v>366</v>
      </c>
      <c r="Q79" s="27">
        <f t="shared" si="10"/>
        <v>10194</v>
      </c>
      <c r="R79" s="28">
        <f t="shared" si="4"/>
        <v>82848</v>
      </c>
      <c r="S79" s="29">
        <f t="shared" si="11"/>
        <v>0</v>
      </c>
      <c r="T79" s="30">
        <f t="shared" si="12"/>
        <v>1683</v>
      </c>
      <c r="U79" s="30"/>
      <c r="V79" s="30"/>
      <c r="W79" s="30"/>
      <c r="X79" s="31">
        <v>1200000.0</v>
      </c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2"/>
      <c r="AK79" s="32"/>
      <c r="AL79" s="32"/>
    </row>
    <row r="80" ht="14.25" customHeight="1">
      <c r="A80" s="23">
        <v>79.0</v>
      </c>
      <c r="B80" s="24" t="s">
        <v>29</v>
      </c>
      <c r="C80" s="25" t="s">
        <v>89</v>
      </c>
      <c r="D80" s="24"/>
      <c r="E80" s="24"/>
      <c r="F80" s="24"/>
      <c r="G80" s="24"/>
      <c r="H80" s="24"/>
      <c r="I80" s="24">
        <v>3895.75</v>
      </c>
      <c r="J80" s="26">
        <v>472.17999999999984</v>
      </c>
      <c r="K80" s="26"/>
      <c r="L80" s="26"/>
      <c r="M80" s="26"/>
      <c r="N80" s="26">
        <v>6.0</v>
      </c>
      <c r="O80" s="26">
        <f t="shared" si="1"/>
        <v>100</v>
      </c>
      <c r="P80" s="26">
        <f t="shared" si="9"/>
        <v>572</v>
      </c>
      <c r="Q80" s="27">
        <f t="shared" si="10"/>
        <v>3324</v>
      </c>
      <c r="R80" s="28">
        <f t="shared" si="4"/>
        <v>86172</v>
      </c>
      <c r="S80" s="29">
        <f t="shared" si="11"/>
        <v>0</v>
      </c>
      <c r="T80" s="30">
        <f t="shared" si="12"/>
        <v>2046</v>
      </c>
      <c r="U80" s="30"/>
      <c r="V80" s="30"/>
      <c r="W80" s="30"/>
      <c r="X80" s="31">
        <v>1200000.0</v>
      </c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2"/>
      <c r="AK80" s="32"/>
      <c r="AL80" s="32"/>
    </row>
    <row r="81" ht="14.25" customHeight="1">
      <c r="A81" s="23">
        <v>80.0</v>
      </c>
      <c r="B81" s="24" t="s">
        <v>30</v>
      </c>
      <c r="C81" s="25" t="s">
        <v>90</v>
      </c>
      <c r="D81" s="24"/>
      <c r="E81" s="24"/>
      <c r="F81" s="24"/>
      <c r="G81" s="24"/>
      <c r="H81" s="24"/>
      <c r="I81" s="24">
        <v>2173.0</v>
      </c>
      <c r="J81" s="26">
        <v>271.6300000000001</v>
      </c>
      <c r="K81" s="26"/>
      <c r="L81" s="26"/>
      <c r="M81" s="26"/>
      <c r="N81" s="26">
        <v>6.0</v>
      </c>
      <c r="O81" s="26">
        <f t="shared" si="1"/>
        <v>100</v>
      </c>
      <c r="P81" s="26">
        <f t="shared" si="9"/>
        <v>372</v>
      </c>
      <c r="Q81" s="27">
        <f t="shared" si="10"/>
        <v>1801</v>
      </c>
      <c r="R81" s="28">
        <f t="shared" si="4"/>
        <v>87973</v>
      </c>
      <c r="S81" s="29">
        <f t="shared" si="11"/>
        <v>0</v>
      </c>
      <c r="T81" s="30">
        <f t="shared" si="12"/>
        <v>2059</v>
      </c>
      <c r="U81" s="30"/>
      <c r="V81" s="30"/>
      <c r="W81" s="30"/>
      <c r="X81" s="31">
        <v>1200000.0</v>
      </c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2"/>
      <c r="AK81" s="32"/>
      <c r="AL81" s="32"/>
    </row>
    <row r="82" ht="14.25" customHeight="1">
      <c r="A82" s="23">
        <v>81.0</v>
      </c>
      <c r="B82" s="24" t="s">
        <v>26</v>
      </c>
      <c r="C82" s="25" t="s">
        <v>91</v>
      </c>
      <c r="D82" s="24"/>
      <c r="E82" s="24"/>
      <c r="F82" s="24"/>
      <c r="G82" s="24"/>
      <c r="H82" s="24"/>
      <c r="I82" s="24">
        <v>10592.25</v>
      </c>
      <c r="J82" s="26">
        <v>529.5300000000007</v>
      </c>
      <c r="K82" s="26"/>
      <c r="L82" s="26"/>
      <c r="M82" s="26"/>
      <c r="N82" s="26">
        <v>6.0</v>
      </c>
      <c r="O82" s="26">
        <f t="shared" si="1"/>
        <v>100</v>
      </c>
      <c r="P82" s="26">
        <f t="shared" si="9"/>
        <v>630</v>
      </c>
      <c r="Q82" s="27">
        <f t="shared" si="10"/>
        <v>9962</v>
      </c>
      <c r="R82" s="28">
        <f t="shared" si="4"/>
        <v>97935</v>
      </c>
      <c r="S82" s="29">
        <f t="shared" si="11"/>
        <v>0</v>
      </c>
      <c r="T82" s="30">
        <f t="shared" si="12"/>
        <v>2162</v>
      </c>
      <c r="U82" s="30"/>
      <c r="V82" s="30"/>
      <c r="W82" s="30"/>
      <c r="X82" s="31">
        <v>1200000.0</v>
      </c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2"/>
      <c r="AK82" s="32"/>
      <c r="AL82" s="32"/>
    </row>
    <row r="83" ht="14.25" customHeight="1">
      <c r="A83" s="23">
        <v>82.0</v>
      </c>
      <c r="B83" s="24" t="s">
        <v>27</v>
      </c>
      <c r="C83" s="25" t="s">
        <v>92</v>
      </c>
      <c r="D83" s="24"/>
      <c r="E83" s="24"/>
      <c r="F83" s="24"/>
      <c r="G83" s="24"/>
      <c r="H83" s="24"/>
      <c r="I83" s="24">
        <v>-4711.25</v>
      </c>
      <c r="J83" s="26">
        <v>313.27999999999975</v>
      </c>
      <c r="K83" s="26"/>
      <c r="L83" s="26"/>
      <c r="M83" s="26"/>
      <c r="N83" s="26">
        <v>6.0</v>
      </c>
      <c r="O83" s="26">
        <f t="shared" si="1"/>
        <v>100</v>
      </c>
      <c r="P83" s="26">
        <f t="shared" si="9"/>
        <v>413</v>
      </c>
      <c r="Q83" s="27">
        <f t="shared" si="10"/>
        <v>-5124</v>
      </c>
      <c r="R83" s="28">
        <f t="shared" si="4"/>
        <v>92811</v>
      </c>
      <c r="S83" s="29">
        <f t="shared" si="11"/>
        <v>-5124</v>
      </c>
      <c r="T83" s="30">
        <f t="shared" si="12"/>
        <v>2619</v>
      </c>
      <c r="U83" s="30"/>
      <c r="V83" s="30"/>
      <c r="W83" s="30"/>
      <c r="X83" s="31">
        <v>1200000.0</v>
      </c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2"/>
      <c r="AK83" s="32"/>
      <c r="AL83" s="32"/>
    </row>
    <row r="84" ht="14.25" customHeight="1">
      <c r="A84" s="23">
        <v>83.0</v>
      </c>
      <c r="B84" s="24" t="s">
        <v>28</v>
      </c>
      <c r="C84" s="25" t="s">
        <v>93</v>
      </c>
      <c r="D84" s="24"/>
      <c r="E84" s="24"/>
      <c r="F84" s="24"/>
      <c r="G84" s="24"/>
      <c r="H84" s="24"/>
      <c r="I84" s="24">
        <v>8287.5</v>
      </c>
      <c r="J84" s="26">
        <v>621.6000000000004</v>
      </c>
      <c r="K84" s="26"/>
      <c r="L84" s="26"/>
      <c r="M84" s="26"/>
      <c r="N84" s="26">
        <v>6.0</v>
      </c>
      <c r="O84" s="26">
        <f t="shared" si="1"/>
        <v>100</v>
      </c>
      <c r="P84" s="26">
        <f t="shared" si="9"/>
        <v>722</v>
      </c>
      <c r="Q84" s="27">
        <f t="shared" si="10"/>
        <v>7566</v>
      </c>
      <c r="R84" s="28">
        <f t="shared" si="4"/>
        <v>100377</v>
      </c>
      <c r="S84" s="29">
        <f t="shared" si="11"/>
        <v>0</v>
      </c>
      <c r="T84" s="30">
        <f t="shared" si="12"/>
        <v>2581</v>
      </c>
      <c r="U84" s="30"/>
      <c r="V84" s="30"/>
      <c r="W84" s="30"/>
      <c r="X84" s="31">
        <v>1200000.0</v>
      </c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2"/>
      <c r="AK84" s="32"/>
      <c r="AL84" s="32"/>
    </row>
    <row r="85" ht="14.25" customHeight="1">
      <c r="A85" s="23">
        <v>84.0</v>
      </c>
      <c r="B85" s="24" t="s">
        <v>29</v>
      </c>
      <c r="C85" s="25" t="s">
        <v>94</v>
      </c>
      <c r="D85" s="24"/>
      <c r="E85" s="24"/>
      <c r="F85" s="24"/>
      <c r="G85" s="24"/>
      <c r="H85" s="24"/>
      <c r="I85" s="24">
        <v>-5582.25</v>
      </c>
      <c r="J85" s="26">
        <v>901.3299999999999</v>
      </c>
      <c r="K85" s="26"/>
      <c r="L85" s="26"/>
      <c r="M85" s="26"/>
      <c r="N85" s="26">
        <v>6.0</v>
      </c>
      <c r="O85" s="26">
        <f t="shared" si="1"/>
        <v>100</v>
      </c>
      <c r="P85" s="26">
        <f t="shared" si="9"/>
        <v>1001</v>
      </c>
      <c r="Q85" s="27">
        <f t="shared" si="10"/>
        <v>-6583</v>
      </c>
      <c r="R85" s="28">
        <f t="shared" si="4"/>
        <v>93794</v>
      </c>
      <c r="S85" s="29">
        <f t="shared" si="11"/>
        <v>-6583</v>
      </c>
      <c r="T85" s="30">
        <f t="shared" si="12"/>
        <v>2318</v>
      </c>
      <c r="U85" s="30"/>
      <c r="V85" s="30"/>
      <c r="W85" s="30"/>
      <c r="X85" s="31">
        <v>1200000.0</v>
      </c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2"/>
      <c r="AK85" s="32"/>
      <c r="AL85" s="32"/>
    </row>
    <row r="86" ht="14.25" customHeight="1">
      <c r="A86" s="23">
        <v>85.0</v>
      </c>
      <c r="B86" s="24" t="s">
        <v>30</v>
      </c>
      <c r="C86" s="25" t="s">
        <v>95</v>
      </c>
      <c r="D86" s="24"/>
      <c r="E86" s="24"/>
      <c r="F86" s="24"/>
      <c r="G86" s="24"/>
      <c r="H86" s="24"/>
      <c r="I86" s="24">
        <v>3833.75</v>
      </c>
      <c r="J86" s="26">
        <v>462.6399999999999</v>
      </c>
      <c r="K86" s="26"/>
      <c r="L86" s="26"/>
      <c r="M86" s="26"/>
      <c r="N86" s="26">
        <v>6.0</v>
      </c>
      <c r="O86" s="26">
        <f t="shared" si="1"/>
        <v>100</v>
      </c>
      <c r="P86" s="26">
        <f t="shared" si="9"/>
        <v>563</v>
      </c>
      <c r="Q86" s="27">
        <f t="shared" si="10"/>
        <v>3271</v>
      </c>
      <c r="R86" s="28">
        <f t="shared" si="4"/>
        <v>97065</v>
      </c>
      <c r="S86" s="29">
        <f t="shared" si="11"/>
        <v>-3312</v>
      </c>
      <c r="T86" s="30">
        <f t="shared" si="12"/>
        <v>2347</v>
      </c>
      <c r="U86" s="30"/>
      <c r="V86" s="30"/>
      <c r="W86" s="30"/>
      <c r="X86" s="31">
        <v>1200000.0</v>
      </c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2"/>
      <c r="AK86" s="32"/>
      <c r="AL86" s="32"/>
    </row>
    <row r="87" ht="14.25" customHeight="1">
      <c r="A87" s="23">
        <v>86.0</v>
      </c>
      <c r="B87" s="24" t="s">
        <v>26</v>
      </c>
      <c r="C87" s="25" t="s">
        <v>96</v>
      </c>
      <c r="D87" s="24"/>
      <c r="E87" s="24"/>
      <c r="F87" s="24"/>
      <c r="G87" s="24"/>
      <c r="H87" s="24"/>
      <c r="I87" s="24">
        <v>-2855.0</v>
      </c>
      <c r="J87" s="26">
        <v>1307.2200000000003</v>
      </c>
      <c r="K87" s="26"/>
      <c r="L87" s="26"/>
      <c r="M87" s="26"/>
      <c r="N87" s="26">
        <v>6.0</v>
      </c>
      <c r="O87" s="26">
        <f t="shared" si="1"/>
        <v>100</v>
      </c>
      <c r="P87" s="26">
        <f t="shared" si="9"/>
        <v>1407</v>
      </c>
      <c r="Q87" s="27">
        <f t="shared" si="10"/>
        <v>-4262</v>
      </c>
      <c r="R87" s="28">
        <f t="shared" si="4"/>
        <v>92803</v>
      </c>
      <c r="S87" s="29">
        <f t="shared" si="11"/>
        <v>-7574</v>
      </c>
      <c r="T87" s="30">
        <f t="shared" si="12"/>
        <v>2289</v>
      </c>
      <c r="U87" s="30"/>
      <c r="V87" s="30"/>
      <c r="W87" s="30"/>
      <c r="X87" s="31">
        <v>1200000.0</v>
      </c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2"/>
      <c r="AK87" s="32"/>
      <c r="AL87" s="32"/>
    </row>
    <row r="88" ht="14.25" customHeight="1">
      <c r="A88" s="23">
        <v>87.0</v>
      </c>
      <c r="B88" s="24" t="s">
        <v>27</v>
      </c>
      <c r="C88" s="25" t="s">
        <v>97</v>
      </c>
      <c r="D88" s="24"/>
      <c r="E88" s="24"/>
      <c r="F88" s="24"/>
      <c r="G88" s="24"/>
      <c r="H88" s="24"/>
      <c r="I88" s="24">
        <v>3178.0</v>
      </c>
      <c r="J88" s="26">
        <v>216.48999999999978</v>
      </c>
      <c r="K88" s="26"/>
      <c r="L88" s="26"/>
      <c r="M88" s="26"/>
      <c r="N88" s="26">
        <v>22.0</v>
      </c>
      <c r="O88" s="26">
        <f t="shared" si="1"/>
        <v>300</v>
      </c>
      <c r="P88" s="26">
        <f t="shared" si="9"/>
        <v>516</v>
      </c>
      <c r="Q88" s="27">
        <f t="shared" si="10"/>
        <v>2662</v>
      </c>
      <c r="R88" s="28">
        <f t="shared" si="4"/>
        <v>95465</v>
      </c>
      <c r="S88" s="29">
        <f t="shared" si="11"/>
        <v>-4912</v>
      </c>
      <c r="T88" s="30">
        <f t="shared" si="12"/>
        <v>2762</v>
      </c>
      <c r="U88" s="30"/>
      <c r="V88" s="30"/>
      <c r="W88" s="30"/>
      <c r="X88" s="31">
        <v>1200000.0</v>
      </c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2"/>
      <c r="AK88" s="32"/>
      <c r="AL88" s="32"/>
    </row>
    <row r="89" ht="14.25" customHeight="1">
      <c r="A89" s="23">
        <v>88.0</v>
      </c>
      <c r="B89" s="24" t="s">
        <v>28</v>
      </c>
      <c r="C89" s="25" t="s">
        <v>98</v>
      </c>
      <c r="D89" s="24"/>
      <c r="E89" s="24"/>
      <c r="F89" s="24"/>
      <c r="G89" s="24"/>
      <c r="H89" s="24"/>
      <c r="I89" s="24">
        <v>-43503.25</v>
      </c>
      <c r="J89" s="26">
        <v>2532.540000000001</v>
      </c>
      <c r="K89" s="26"/>
      <c r="L89" s="26"/>
      <c r="M89" s="26"/>
      <c r="N89" s="26">
        <v>22.0</v>
      </c>
      <c r="O89" s="26">
        <f t="shared" si="1"/>
        <v>300</v>
      </c>
      <c r="P89" s="26">
        <f t="shared" si="9"/>
        <v>2833</v>
      </c>
      <c r="Q89" s="27">
        <f t="shared" si="10"/>
        <v>-46336</v>
      </c>
      <c r="R89" s="28">
        <f t="shared" si="4"/>
        <v>49129</v>
      </c>
      <c r="S89" s="29">
        <f t="shared" si="11"/>
        <v>-51248</v>
      </c>
      <c r="T89" s="30">
        <f t="shared" si="12"/>
        <v>1261</v>
      </c>
      <c r="U89" s="30"/>
      <c r="V89" s="30"/>
      <c r="W89" s="30"/>
      <c r="X89" s="31">
        <v>1200000.0</v>
      </c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2"/>
      <c r="AK89" s="32"/>
      <c r="AL89" s="32"/>
    </row>
    <row r="90" ht="14.25" customHeight="1">
      <c r="A90" s="23">
        <v>89.0</v>
      </c>
      <c r="B90" s="24" t="s">
        <v>29</v>
      </c>
      <c r="C90" s="25" t="s">
        <v>99</v>
      </c>
      <c r="D90" s="24"/>
      <c r="E90" s="24"/>
      <c r="F90" s="24"/>
      <c r="G90" s="24"/>
      <c r="H90" s="24"/>
      <c r="I90" s="24">
        <v>-12176.25</v>
      </c>
      <c r="J90" s="26">
        <v>975.0699999999997</v>
      </c>
      <c r="K90" s="26"/>
      <c r="L90" s="26"/>
      <c r="M90" s="26"/>
      <c r="N90" s="26">
        <v>22.0</v>
      </c>
      <c r="O90" s="26">
        <f t="shared" si="1"/>
        <v>300</v>
      </c>
      <c r="P90" s="26">
        <f t="shared" si="9"/>
        <v>1275</v>
      </c>
      <c r="Q90" s="27">
        <f t="shared" si="10"/>
        <v>-13451</v>
      </c>
      <c r="R90" s="28">
        <f t="shared" si="4"/>
        <v>35678</v>
      </c>
      <c r="S90" s="29">
        <f t="shared" si="11"/>
        <v>-64699</v>
      </c>
      <c r="T90" s="30">
        <f t="shared" si="12"/>
        <v>1311</v>
      </c>
      <c r="U90" s="30"/>
      <c r="V90" s="30"/>
      <c r="W90" s="30"/>
      <c r="X90" s="31">
        <v>1200000.0</v>
      </c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2"/>
      <c r="AK90" s="32"/>
      <c r="AL90" s="32"/>
    </row>
    <row r="91" ht="14.25" customHeight="1">
      <c r="A91" s="23">
        <v>90.0</v>
      </c>
      <c r="B91" s="24" t="s">
        <v>30</v>
      </c>
      <c r="C91" s="25" t="s">
        <v>100</v>
      </c>
      <c r="D91" s="24"/>
      <c r="E91" s="24"/>
      <c r="F91" s="24"/>
      <c r="G91" s="24"/>
      <c r="H91" s="24"/>
      <c r="I91" s="24">
        <v>-9486.0</v>
      </c>
      <c r="J91" s="26">
        <v>515.5699999999997</v>
      </c>
      <c r="K91" s="26"/>
      <c r="L91" s="26"/>
      <c r="M91" s="26"/>
      <c r="N91" s="26">
        <v>22.0</v>
      </c>
      <c r="O91" s="26">
        <f t="shared" si="1"/>
        <v>300</v>
      </c>
      <c r="P91" s="26">
        <f t="shared" si="9"/>
        <v>816</v>
      </c>
      <c r="Q91" s="27">
        <f t="shared" si="10"/>
        <v>-10302</v>
      </c>
      <c r="R91" s="28">
        <f t="shared" si="4"/>
        <v>25376</v>
      </c>
      <c r="S91" s="29">
        <f t="shared" si="11"/>
        <v>-75001</v>
      </c>
      <c r="T91" s="30">
        <f t="shared" si="12"/>
        <v>1240</v>
      </c>
      <c r="U91" s="30"/>
      <c r="V91" s="30"/>
      <c r="W91" s="30"/>
      <c r="X91" s="31">
        <v>1200000.0</v>
      </c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2"/>
      <c r="AK91" s="32"/>
      <c r="AL91" s="32"/>
    </row>
    <row r="92" ht="14.25" customHeight="1">
      <c r="A92" s="23">
        <v>91.0</v>
      </c>
      <c r="B92" s="24" t="s">
        <v>26</v>
      </c>
      <c r="C92" s="25" t="s">
        <v>101</v>
      </c>
      <c r="D92" s="24"/>
      <c r="E92" s="24"/>
      <c r="F92" s="24"/>
      <c r="G92" s="24"/>
      <c r="H92" s="24"/>
      <c r="I92" s="24">
        <v>15753.75</v>
      </c>
      <c r="J92" s="26">
        <v>454.5</v>
      </c>
      <c r="K92" s="26"/>
      <c r="L92" s="26"/>
      <c r="M92" s="26"/>
      <c r="N92" s="26">
        <v>22.0</v>
      </c>
      <c r="O92" s="26">
        <f t="shared" si="1"/>
        <v>300</v>
      </c>
      <c r="P92" s="26">
        <f t="shared" si="9"/>
        <v>755</v>
      </c>
      <c r="Q92" s="27">
        <f t="shared" si="10"/>
        <v>14999</v>
      </c>
      <c r="R92" s="28">
        <f t="shared" si="4"/>
        <v>40375</v>
      </c>
      <c r="S92" s="29">
        <f t="shared" si="11"/>
        <v>-60002</v>
      </c>
      <c r="T92" s="30">
        <f t="shared" si="12"/>
        <v>1456</v>
      </c>
      <c r="U92" s="30"/>
      <c r="V92" s="30"/>
      <c r="W92" s="30"/>
      <c r="X92" s="31">
        <v>1200000.0</v>
      </c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2"/>
      <c r="AK92" s="32"/>
      <c r="AL92" s="32"/>
    </row>
    <row r="93" ht="14.25" customHeight="1">
      <c r="A93" s="23">
        <v>92.0</v>
      </c>
      <c r="B93" s="24" t="s">
        <v>27</v>
      </c>
      <c r="C93" s="25" t="s">
        <v>102</v>
      </c>
      <c r="D93" s="24"/>
      <c r="E93" s="24"/>
      <c r="F93" s="24"/>
      <c r="G93" s="24"/>
      <c r="H93" s="24"/>
      <c r="I93" s="24">
        <v>7413.75</v>
      </c>
      <c r="J93" s="26">
        <v>370.35000000000036</v>
      </c>
      <c r="K93" s="26"/>
      <c r="L93" s="26"/>
      <c r="M93" s="26"/>
      <c r="N93" s="26">
        <v>22.0</v>
      </c>
      <c r="O93" s="26">
        <f t="shared" si="1"/>
        <v>300</v>
      </c>
      <c r="P93" s="26">
        <f t="shared" si="9"/>
        <v>670</v>
      </c>
      <c r="Q93" s="27">
        <f t="shared" si="10"/>
        <v>6744</v>
      </c>
      <c r="R93" s="28">
        <f t="shared" si="4"/>
        <v>47119</v>
      </c>
      <c r="S93" s="29">
        <f t="shared" si="11"/>
        <v>-53258</v>
      </c>
      <c r="T93" s="30">
        <f t="shared" si="12"/>
        <v>278</v>
      </c>
      <c r="U93" s="30"/>
      <c r="V93" s="30"/>
      <c r="W93" s="30"/>
      <c r="X93" s="31">
        <v>1200000.0</v>
      </c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2"/>
      <c r="AK93" s="32"/>
      <c r="AL93" s="32"/>
    </row>
    <row r="94" ht="14.25" customHeight="1">
      <c r="A94" s="23">
        <v>93.0</v>
      </c>
      <c r="B94" s="24" t="s">
        <v>28</v>
      </c>
      <c r="C94" s="25" t="s">
        <v>103</v>
      </c>
      <c r="D94" s="24"/>
      <c r="E94" s="24"/>
      <c r="F94" s="24"/>
      <c r="G94" s="24"/>
      <c r="H94" s="24"/>
      <c r="I94" s="24">
        <v>2700.0</v>
      </c>
      <c r="J94" s="26">
        <v>957.6600000000001</v>
      </c>
      <c r="K94" s="26"/>
      <c r="L94" s="26"/>
      <c r="M94" s="26"/>
      <c r="N94" s="26">
        <v>22.0</v>
      </c>
      <c r="O94" s="26">
        <f t="shared" si="1"/>
        <v>300</v>
      </c>
      <c r="P94" s="26">
        <f t="shared" si="9"/>
        <v>1258</v>
      </c>
      <c r="Q94" s="27">
        <f t="shared" si="10"/>
        <v>1442</v>
      </c>
      <c r="R94" s="28">
        <f t="shared" si="4"/>
        <v>48561</v>
      </c>
      <c r="S94" s="29">
        <f t="shared" si="11"/>
        <v>-51816</v>
      </c>
      <c r="T94" s="30">
        <f t="shared" si="12"/>
        <v>469</v>
      </c>
      <c r="U94" s="30"/>
      <c r="V94" s="30"/>
      <c r="W94" s="30"/>
      <c r="X94" s="31">
        <v>1200000.0</v>
      </c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2"/>
      <c r="AK94" s="32"/>
      <c r="AL94" s="32"/>
    </row>
    <row r="95" ht="14.25" customHeight="1">
      <c r="A95" s="23">
        <v>94.0</v>
      </c>
      <c r="B95" s="24" t="s">
        <v>29</v>
      </c>
      <c r="C95" s="25" t="s">
        <v>104</v>
      </c>
      <c r="D95" s="24"/>
      <c r="E95" s="24"/>
      <c r="F95" s="24"/>
      <c r="G95" s="24"/>
      <c r="H95" s="24"/>
      <c r="I95" s="24">
        <v>1732.5</v>
      </c>
      <c r="J95" s="26">
        <v>284.77</v>
      </c>
      <c r="K95" s="26"/>
      <c r="L95" s="26"/>
      <c r="M95" s="26"/>
      <c r="N95" s="26">
        <v>22.0</v>
      </c>
      <c r="O95" s="26">
        <f t="shared" si="1"/>
        <v>300</v>
      </c>
      <c r="P95" s="26">
        <f t="shared" si="9"/>
        <v>585</v>
      </c>
      <c r="Q95" s="27">
        <f t="shared" si="10"/>
        <v>1148</v>
      </c>
      <c r="R95" s="28">
        <f t="shared" si="4"/>
        <v>49709</v>
      </c>
      <c r="S95" s="29">
        <f t="shared" si="11"/>
        <v>-50668</v>
      </c>
      <c r="T95" s="30">
        <f t="shared" si="12"/>
        <v>655</v>
      </c>
      <c r="U95" s="30"/>
      <c r="V95" s="30"/>
      <c r="W95" s="30"/>
      <c r="X95" s="31">
        <v>1200000.0</v>
      </c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2"/>
      <c r="AK95" s="32"/>
      <c r="AL95" s="32"/>
    </row>
    <row r="96" ht="14.25" customHeight="1">
      <c r="A96" s="23">
        <v>95.0</v>
      </c>
      <c r="B96" s="24" t="s">
        <v>30</v>
      </c>
      <c r="C96" s="25" t="s">
        <v>105</v>
      </c>
      <c r="D96" s="24"/>
      <c r="E96" s="24"/>
      <c r="F96" s="24"/>
      <c r="G96" s="24"/>
      <c r="H96" s="24"/>
      <c r="I96" s="24">
        <v>-3233.75</v>
      </c>
      <c r="J96" s="26">
        <v>346.78999999999996</v>
      </c>
      <c r="K96" s="26"/>
      <c r="L96" s="26"/>
      <c r="M96" s="26"/>
      <c r="N96" s="26">
        <v>22.0</v>
      </c>
      <c r="O96" s="26">
        <f t="shared" si="1"/>
        <v>300</v>
      </c>
      <c r="P96" s="26">
        <f t="shared" si="9"/>
        <v>647</v>
      </c>
      <c r="Q96" s="27">
        <f t="shared" si="10"/>
        <v>-3881</v>
      </c>
      <c r="R96" s="28">
        <f t="shared" si="4"/>
        <v>45828</v>
      </c>
      <c r="S96" s="29">
        <f t="shared" si="11"/>
        <v>-54549</v>
      </c>
      <c r="T96" s="30">
        <f t="shared" si="12"/>
        <v>442</v>
      </c>
      <c r="U96" s="30"/>
      <c r="V96" s="30"/>
      <c r="W96" s="30"/>
      <c r="X96" s="31">
        <v>1200000.0</v>
      </c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2"/>
      <c r="AK96" s="32"/>
      <c r="AL96" s="32"/>
    </row>
    <row r="97" ht="14.25" customHeight="1">
      <c r="A97" s="23">
        <v>96.0</v>
      </c>
      <c r="B97" s="24" t="s">
        <v>26</v>
      </c>
      <c r="C97" s="25" t="s">
        <v>106</v>
      </c>
      <c r="D97" s="24"/>
      <c r="E97" s="24"/>
      <c r="F97" s="24"/>
      <c r="G97" s="24"/>
      <c r="H97" s="24"/>
      <c r="I97" s="24">
        <v>-3637.5</v>
      </c>
      <c r="J97" s="26">
        <v>1809.2399999999998</v>
      </c>
      <c r="K97" s="26"/>
      <c r="L97" s="26"/>
      <c r="M97" s="26"/>
      <c r="N97" s="26">
        <v>6.0</v>
      </c>
      <c r="O97" s="26">
        <f t="shared" si="1"/>
        <v>100</v>
      </c>
      <c r="P97" s="26">
        <f t="shared" si="9"/>
        <v>1909</v>
      </c>
      <c r="Q97" s="27">
        <f t="shared" si="10"/>
        <v>-5547</v>
      </c>
      <c r="R97" s="28">
        <f t="shared" si="4"/>
        <v>40281</v>
      </c>
      <c r="S97" s="29">
        <f t="shared" si="11"/>
        <v>-60096</v>
      </c>
      <c r="T97" s="30">
        <f t="shared" si="12"/>
        <v>237</v>
      </c>
      <c r="U97" s="30"/>
      <c r="V97" s="30"/>
      <c r="W97" s="30"/>
      <c r="X97" s="31">
        <v>1200000.0</v>
      </c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2"/>
      <c r="AK97" s="32"/>
      <c r="AL97" s="32"/>
    </row>
    <row r="98" ht="14.25" customHeight="1">
      <c r="A98" s="23">
        <v>97.0</v>
      </c>
      <c r="B98" s="24" t="s">
        <v>27</v>
      </c>
      <c r="C98" s="25" t="s">
        <v>107</v>
      </c>
      <c r="D98" s="24"/>
      <c r="E98" s="24"/>
      <c r="F98" s="24"/>
      <c r="G98" s="24"/>
      <c r="H98" s="24"/>
      <c r="I98" s="24">
        <v>6296.25</v>
      </c>
      <c r="J98" s="26">
        <v>502.4499999999998</v>
      </c>
      <c r="K98" s="26"/>
      <c r="L98" s="26"/>
      <c r="M98" s="26"/>
      <c r="N98" s="26">
        <v>6.0</v>
      </c>
      <c r="O98" s="26">
        <f t="shared" si="1"/>
        <v>100</v>
      </c>
      <c r="P98" s="26">
        <f t="shared" si="9"/>
        <v>602</v>
      </c>
      <c r="Q98" s="27">
        <f t="shared" si="10"/>
        <v>5694</v>
      </c>
      <c r="R98" s="28">
        <f t="shared" si="4"/>
        <v>45975</v>
      </c>
      <c r="S98" s="29">
        <f t="shared" si="11"/>
        <v>-54402</v>
      </c>
      <c r="T98" s="30">
        <f t="shared" si="12"/>
        <v>326</v>
      </c>
      <c r="U98" s="30"/>
      <c r="V98" s="30"/>
      <c r="W98" s="30"/>
      <c r="X98" s="31">
        <v>1200000.0</v>
      </c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2"/>
      <c r="AK98" s="32"/>
      <c r="AL98" s="32"/>
    </row>
    <row r="99" ht="14.25" customHeight="1">
      <c r="A99" s="23">
        <v>98.0</v>
      </c>
      <c r="B99" s="24" t="s">
        <v>28</v>
      </c>
      <c r="C99" s="25" t="s">
        <v>108</v>
      </c>
      <c r="D99" s="24"/>
      <c r="E99" s="24"/>
      <c r="F99" s="24"/>
      <c r="G99" s="24"/>
      <c r="H99" s="24"/>
      <c r="I99" s="24">
        <v>26741.25</v>
      </c>
      <c r="J99" s="26">
        <v>794.2099999999991</v>
      </c>
      <c r="K99" s="26"/>
      <c r="L99" s="26"/>
      <c r="M99" s="26"/>
      <c r="N99" s="26">
        <v>6.0</v>
      </c>
      <c r="O99" s="26">
        <f t="shared" si="1"/>
        <v>100</v>
      </c>
      <c r="P99" s="26">
        <f t="shared" si="9"/>
        <v>894</v>
      </c>
      <c r="Q99" s="27">
        <f t="shared" si="10"/>
        <v>25847</v>
      </c>
      <c r="R99" s="28">
        <f t="shared" si="4"/>
        <v>71822</v>
      </c>
      <c r="S99" s="29">
        <f t="shared" si="11"/>
        <v>-28555</v>
      </c>
      <c r="T99" s="30">
        <f t="shared" si="12"/>
        <v>833</v>
      </c>
      <c r="U99" s="30"/>
      <c r="V99" s="30"/>
      <c r="W99" s="30"/>
      <c r="X99" s="31">
        <v>1200000.0</v>
      </c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2"/>
      <c r="AK99" s="32"/>
      <c r="AL99" s="32"/>
    </row>
    <row r="100" ht="14.25" customHeight="1">
      <c r="A100" s="23">
        <v>99.0</v>
      </c>
      <c r="B100" s="24" t="s">
        <v>30</v>
      </c>
      <c r="C100" s="25" t="s">
        <v>109</v>
      </c>
      <c r="D100" s="24"/>
      <c r="E100" s="24"/>
      <c r="F100" s="24"/>
      <c r="G100" s="24"/>
      <c r="H100" s="24"/>
      <c r="I100" s="24">
        <v>8672.0</v>
      </c>
      <c r="J100" s="26">
        <v>326.71999999999935</v>
      </c>
      <c r="K100" s="26"/>
      <c r="L100" s="26"/>
      <c r="M100" s="26"/>
      <c r="N100" s="26">
        <v>6.0</v>
      </c>
      <c r="O100" s="26">
        <f t="shared" si="1"/>
        <v>100</v>
      </c>
      <c r="P100" s="26">
        <f t="shared" si="9"/>
        <v>427</v>
      </c>
      <c r="Q100" s="27">
        <f t="shared" si="10"/>
        <v>8245</v>
      </c>
      <c r="R100" s="28">
        <f t="shared" si="4"/>
        <v>80067</v>
      </c>
      <c r="S100" s="29">
        <f t="shared" si="11"/>
        <v>-20310</v>
      </c>
      <c r="T100" s="30">
        <f t="shared" si="12"/>
        <v>955</v>
      </c>
      <c r="U100" s="30"/>
      <c r="V100" s="30"/>
      <c r="W100" s="30"/>
      <c r="X100" s="31">
        <v>1200000.0</v>
      </c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2"/>
      <c r="AK100" s="32"/>
      <c r="AL100" s="32"/>
    </row>
    <row r="101" ht="14.25" customHeight="1">
      <c r="A101" s="23">
        <v>100.0</v>
      </c>
      <c r="B101" s="24" t="s">
        <v>26</v>
      </c>
      <c r="C101" s="25" t="s">
        <v>110</v>
      </c>
      <c r="D101" s="24"/>
      <c r="E101" s="24"/>
      <c r="F101" s="24"/>
      <c r="G101" s="24"/>
      <c r="H101" s="24"/>
      <c r="I101" s="24">
        <v>5458.75</v>
      </c>
      <c r="J101" s="26">
        <v>371.0799999999999</v>
      </c>
      <c r="K101" s="26"/>
      <c r="L101" s="26"/>
      <c r="M101" s="26"/>
      <c r="N101" s="26">
        <v>6.0</v>
      </c>
      <c r="O101" s="26">
        <f t="shared" si="1"/>
        <v>100</v>
      </c>
      <c r="P101" s="26">
        <f t="shared" si="9"/>
        <v>471</v>
      </c>
      <c r="Q101" s="27">
        <f t="shared" si="10"/>
        <v>4988</v>
      </c>
      <c r="R101" s="28">
        <f t="shared" si="4"/>
        <v>85055</v>
      </c>
      <c r="S101" s="29">
        <f t="shared" si="11"/>
        <v>-15322</v>
      </c>
      <c r="T101" s="30">
        <f t="shared" si="12"/>
        <v>888</v>
      </c>
      <c r="U101" s="30">
        <f t="shared" ref="U101:U288" si="13">ROUND(AVERAGE(Q2:Q101),0)</f>
        <v>886</v>
      </c>
      <c r="V101" s="30">
        <f t="shared" ref="V101:V288" si="14">ROUND(AVERAGE(P2:P101),0)</f>
        <v>791</v>
      </c>
      <c r="W101" s="30">
        <f t="shared" ref="W101:W288" si="15"> ROUND(V101*100/U101,1)</f>
        <v>89.3</v>
      </c>
      <c r="X101" s="31">
        <v>1200000.0</v>
      </c>
      <c r="Y101" s="30">
        <f t="shared" ref="Y101:Y288" si="16">AVERAGE(X2:X101)</f>
        <v>1200000</v>
      </c>
      <c r="Z101" s="30">
        <f t="shared" ref="Z101:Z288" si="17">ROUND(U101*100*100/Y101,0)</f>
        <v>7</v>
      </c>
      <c r="AA101" s="30"/>
      <c r="AB101" s="30"/>
      <c r="AC101" s="30"/>
      <c r="AD101" s="30"/>
      <c r="AE101" s="30"/>
      <c r="AF101" s="30"/>
      <c r="AG101" s="30"/>
      <c r="AH101" s="30"/>
      <c r="AI101" s="30"/>
      <c r="AJ101" s="32"/>
      <c r="AK101" s="32"/>
      <c r="AL101" s="32"/>
    </row>
    <row r="102" ht="14.25" customHeight="1">
      <c r="A102" s="23">
        <v>101.0</v>
      </c>
      <c r="B102" s="24" t="s">
        <v>27</v>
      </c>
      <c r="C102" s="25" t="s">
        <v>111</v>
      </c>
      <c r="D102" s="24"/>
      <c r="E102" s="24"/>
      <c r="F102" s="24"/>
      <c r="G102" s="24"/>
      <c r="H102" s="24"/>
      <c r="I102" s="24">
        <v>-7556.25</v>
      </c>
      <c r="J102" s="26">
        <v>724.1800000000003</v>
      </c>
      <c r="K102" s="26"/>
      <c r="L102" s="26"/>
      <c r="M102" s="26"/>
      <c r="N102" s="26">
        <v>6.0</v>
      </c>
      <c r="O102" s="26">
        <f t="shared" si="1"/>
        <v>100</v>
      </c>
      <c r="P102" s="26">
        <f t="shared" si="9"/>
        <v>824</v>
      </c>
      <c r="Q102" s="27">
        <f t="shared" si="10"/>
        <v>-8380</v>
      </c>
      <c r="R102" s="28">
        <f t="shared" si="4"/>
        <v>76675</v>
      </c>
      <c r="S102" s="29">
        <f t="shared" si="11"/>
        <v>-23702</v>
      </c>
      <c r="T102" s="30">
        <f t="shared" si="12"/>
        <v>331</v>
      </c>
      <c r="U102" s="30">
        <f t="shared" si="13"/>
        <v>790</v>
      </c>
      <c r="V102" s="30">
        <f t="shared" si="14"/>
        <v>791</v>
      </c>
      <c r="W102" s="30">
        <f t="shared" si="15"/>
        <v>100.1</v>
      </c>
      <c r="X102" s="31">
        <v>1200000.0</v>
      </c>
      <c r="Y102" s="30">
        <f t="shared" si="16"/>
        <v>1200000</v>
      </c>
      <c r="Z102" s="30">
        <f t="shared" si="17"/>
        <v>7</v>
      </c>
      <c r="AA102" s="30"/>
      <c r="AB102" s="30"/>
      <c r="AC102" s="30"/>
      <c r="AD102" s="30"/>
      <c r="AE102" s="30"/>
      <c r="AF102" s="30"/>
      <c r="AG102" s="30"/>
      <c r="AH102" s="30"/>
      <c r="AI102" s="30"/>
      <c r="AJ102" s="32"/>
      <c r="AK102" s="32"/>
      <c r="AL102" s="32"/>
    </row>
    <row r="103" ht="14.25" customHeight="1">
      <c r="A103" s="23">
        <v>102.0</v>
      </c>
      <c r="B103" s="24" t="s">
        <v>28</v>
      </c>
      <c r="C103" s="25" t="s">
        <v>112</v>
      </c>
      <c r="D103" s="24"/>
      <c r="E103" s="24"/>
      <c r="F103" s="24"/>
      <c r="G103" s="24"/>
      <c r="H103" s="24"/>
      <c r="I103" s="24">
        <v>10822.5</v>
      </c>
      <c r="J103" s="26">
        <v>620.1200000000008</v>
      </c>
      <c r="K103" s="26"/>
      <c r="L103" s="26"/>
      <c r="M103" s="26"/>
      <c r="N103" s="26">
        <v>6.0</v>
      </c>
      <c r="O103" s="26">
        <f t="shared" si="1"/>
        <v>100</v>
      </c>
      <c r="P103" s="26">
        <f t="shared" si="9"/>
        <v>720</v>
      </c>
      <c r="Q103" s="27">
        <f t="shared" si="10"/>
        <v>10103</v>
      </c>
      <c r="R103" s="28">
        <f t="shared" si="4"/>
        <v>86778</v>
      </c>
      <c r="S103" s="29">
        <f t="shared" si="11"/>
        <v>-13599</v>
      </c>
      <c r="T103" s="30">
        <f t="shared" si="12"/>
        <v>601</v>
      </c>
      <c r="U103" s="30">
        <f t="shared" si="13"/>
        <v>936</v>
      </c>
      <c r="V103" s="30">
        <f t="shared" si="14"/>
        <v>779</v>
      </c>
      <c r="W103" s="30">
        <f t="shared" si="15"/>
        <v>83.2</v>
      </c>
      <c r="X103" s="31">
        <v>1200000.0</v>
      </c>
      <c r="Y103" s="30">
        <f t="shared" si="16"/>
        <v>1200000</v>
      </c>
      <c r="Z103" s="30">
        <f t="shared" si="17"/>
        <v>8</v>
      </c>
      <c r="AA103" s="30"/>
      <c r="AB103" s="30"/>
      <c r="AC103" s="30"/>
      <c r="AD103" s="30"/>
      <c r="AE103" s="30"/>
      <c r="AF103" s="30"/>
      <c r="AG103" s="30"/>
      <c r="AH103" s="30"/>
      <c r="AI103" s="30"/>
      <c r="AJ103" s="32"/>
      <c r="AK103" s="32"/>
      <c r="AL103" s="32"/>
    </row>
    <row r="104" ht="14.25" customHeight="1">
      <c r="A104" s="23">
        <v>103.0</v>
      </c>
      <c r="B104" s="24" t="s">
        <v>29</v>
      </c>
      <c r="C104" s="25" t="s">
        <v>113</v>
      </c>
      <c r="D104" s="24"/>
      <c r="E104" s="24"/>
      <c r="F104" s="24"/>
      <c r="G104" s="24"/>
      <c r="H104" s="24"/>
      <c r="I104" s="24">
        <v>6911.25</v>
      </c>
      <c r="J104" s="26">
        <v>694.7399999999998</v>
      </c>
      <c r="K104" s="26"/>
      <c r="L104" s="26"/>
      <c r="M104" s="26"/>
      <c r="N104" s="26">
        <v>6.0</v>
      </c>
      <c r="O104" s="26">
        <f t="shared" si="1"/>
        <v>100</v>
      </c>
      <c r="P104" s="26">
        <f t="shared" si="9"/>
        <v>795</v>
      </c>
      <c r="Q104" s="27">
        <f t="shared" si="10"/>
        <v>6116</v>
      </c>
      <c r="R104" s="28">
        <f t="shared" si="4"/>
        <v>92894</v>
      </c>
      <c r="S104" s="29">
        <f t="shared" si="11"/>
        <v>-7483</v>
      </c>
      <c r="T104" s="30">
        <f t="shared" si="12"/>
        <v>849</v>
      </c>
      <c r="U104" s="33">
        <f t="shared" si="13"/>
        <v>937</v>
      </c>
      <c r="V104" s="33">
        <f t="shared" si="14"/>
        <v>782</v>
      </c>
      <c r="W104" s="30">
        <f t="shared" si="15"/>
        <v>83.5</v>
      </c>
      <c r="X104" s="31">
        <v>1200000.0</v>
      </c>
      <c r="Y104" s="30">
        <f t="shared" si="16"/>
        <v>1200000</v>
      </c>
      <c r="Z104" s="30">
        <f t="shared" si="17"/>
        <v>8</v>
      </c>
      <c r="AA104" s="30"/>
      <c r="AB104" s="30"/>
      <c r="AC104" s="30"/>
      <c r="AD104" s="30"/>
      <c r="AE104" s="30"/>
      <c r="AF104" s="30"/>
      <c r="AG104" s="30"/>
      <c r="AH104" s="30"/>
      <c r="AI104" s="30"/>
      <c r="AJ104" s="32"/>
      <c r="AK104" s="32"/>
      <c r="AL104" s="32"/>
    </row>
    <row r="105" ht="14.25" customHeight="1">
      <c r="A105" s="23">
        <v>104.0</v>
      </c>
      <c r="B105" s="24" t="s">
        <v>30</v>
      </c>
      <c r="C105" s="25" t="s">
        <v>114</v>
      </c>
      <c r="D105" s="24"/>
      <c r="E105" s="24"/>
      <c r="F105" s="24"/>
      <c r="G105" s="24"/>
      <c r="H105" s="24"/>
      <c r="I105" s="24">
        <v>4089.0</v>
      </c>
      <c r="J105" s="26">
        <v>333.15999999999985</v>
      </c>
      <c r="K105" s="26"/>
      <c r="L105" s="26"/>
      <c r="M105" s="26"/>
      <c r="N105" s="26">
        <v>6.0</v>
      </c>
      <c r="O105" s="26">
        <f t="shared" si="1"/>
        <v>100</v>
      </c>
      <c r="P105" s="26">
        <f t="shared" si="9"/>
        <v>433</v>
      </c>
      <c r="Q105" s="27">
        <f t="shared" si="10"/>
        <v>3656</v>
      </c>
      <c r="R105" s="28">
        <f t="shared" si="4"/>
        <v>96550</v>
      </c>
      <c r="S105" s="29">
        <f t="shared" si="11"/>
        <v>-3827</v>
      </c>
      <c r="T105" s="30">
        <f t="shared" si="12"/>
        <v>906</v>
      </c>
      <c r="U105" s="33">
        <f t="shared" si="13"/>
        <v>868</v>
      </c>
      <c r="V105" s="33">
        <f t="shared" si="14"/>
        <v>784</v>
      </c>
      <c r="W105" s="30">
        <f t="shared" si="15"/>
        <v>90.3</v>
      </c>
      <c r="X105" s="31">
        <v>1200000.0</v>
      </c>
      <c r="Y105" s="30">
        <f t="shared" si="16"/>
        <v>1200000</v>
      </c>
      <c r="Z105" s="30">
        <f t="shared" si="17"/>
        <v>7</v>
      </c>
      <c r="AA105" s="30"/>
      <c r="AB105" s="30"/>
      <c r="AC105" s="30"/>
      <c r="AD105" s="30"/>
      <c r="AE105" s="30"/>
      <c r="AF105" s="30"/>
      <c r="AG105" s="30"/>
      <c r="AH105" s="30"/>
      <c r="AI105" s="30"/>
      <c r="AJ105" s="32"/>
      <c r="AK105" s="32"/>
      <c r="AL105" s="32"/>
    </row>
    <row r="106" ht="14.25" customHeight="1">
      <c r="A106" s="23">
        <v>105.0</v>
      </c>
      <c r="B106" s="24" t="s">
        <v>26</v>
      </c>
      <c r="C106" s="25" t="s">
        <v>115</v>
      </c>
      <c r="D106" s="24"/>
      <c r="E106" s="24"/>
      <c r="F106" s="24"/>
      <c r="G106" s="24"/>
      <c r="H106" s="24"/>
      <c r="I106" s="24">
        <v>434.25</v>
      </c>
      <c r="J106" s="26">
        <v>863.01</v>
      </c>
      <c r="K106" s="26"/>
      <c r="L106" s="26"/>
      <c r="M106" s="26"/>
      <c r="N106" s="26">
        <v>6.0</v>
      </c>
      <c r="O106" s="26">
        <f t="shared" si="1"/>
        <v>100</v>
      </c>
      <c r="P106" s="26">
        <f t="shared" si="9"/>
        <v>963</v>
      </c>
      <c r="Q106" s="27">
        <f t="shared" si="10"/>
        <v>-529</v>
      </c>
      <c r="R106" s="28">
        <f t="shared" si="4"/>
        <v>96021</v>
      </c>
      <c r="S106" s="29">
        <f t="shared" si="11"/>
        <v>-4356</v>
      </c>
      <c r="T106" s="30">
        <f t="shared" si="12"/>
        <v>1031</v>
      </c>
      <c r="U106" s="33">
        <f t="shared" si="13"/>
        <v>777</v>
      </c>
      <c r="V106" s="33">
        <f t="shared" si="14"/>
        <v>790</v>
      </c>
      <c r="W106" s="30">
        <f t="shared" si="15"/>
        <v>101.7</v>
      </c>
      <c r="X106" s="31">
        <v>1200000.0</v>
      </c>
      <c r="Y106" s="30">
        <f t="shared" si="16"/>
        <v>1200000</v>
      </c>
      <c r="Z106" s="30">
        <f t="shared" si="17"/>
        <v>6</v>
      </c>
      <c r="AA106" s="30"/>
      <c r="AB106" s="30"/>
      <c r="AC106" s="30"/>
      <c r="AD106" s="30"/>
      <c r="AE106" s="30"/>
      <c r="AF106" s="30"/>
      <c r="AG106" s="30"/>
      <c r="AH106" s="30"/>
      <c r="AI106" s="30"/>
      <c r="AJ106" s="32"/>
      <c r="AK106" s="32"/>
      <c r="AL106" s="32"/>
    </row>
    <row r="107" ht="14.25" customHeight="1">
      <c r="A107" s="23">
        <v>106.0</v>
      </c>
      <c r="B107" s="24" t="s">
        <v>28</v>
      </c>
      <c r="C107" s="25" t="s">
        <v>116</v>
      </c>
      <c r="D107" s="24"/>
      <c r="E107" s="24"/>
      <c r="F107" s="24"/>
      <c r="G107" s="24"/>
      <c r="H107" s="24"/>
      <c r="I107" s="24">
        <v>-1478.25</v>
      </c>
      <c r="J107" s="26">
        <v>1587.27</v>
      </c>
      <c r="K107" s="26"/>
      <c r="L107" s="26"/>
      <c r="M107" s="26"/>
      <c r="N107" s="26">
        <v>6.0</v>
      </c>
      <c r="O107" s="26">
        <f t="shared" si="1"/>
        <v>100</v>
      </c>
      <c r="P107" s="26">
        <f t="shared" si="9"/>
        <v>1687</v>
      </c>
      <c r="Q107" s="27">
        <f t="shared" si="10"/>
        <v>-3165</v>
      </c>
      <c r="R107" s="28">
        <f t="shared" si="4"/>
        <v>92856</v>
      </c>
      <c r="S107" s="29">
        <f t="shared" si="11"/>
        <v>-7521</v>
      </c>
      <c r="T107" s="30">
        <f t="shared" si="12"/>
        <v>640</v>
      </c>
      <c r="U107" s="33">
        <f t="shared" si="13"/>
        <v>774</v>
      </c>
      <c r="V107" s="33">
        <f t="shared" si="14"/>
        <v>774</v>
      </c>
      <c r="W107" s="30">
        <f t="shared" si="15"/>
        <v>100</v>
      </c>
      <c r="X107" s="31">
        <v>1200000.0</v>
      </c>
      <c r="Y107" s="30">
        <f t="shared" si="16"/>
        <v>1200000</v>
      </c>
      <c r="Z107" s="30">
        <f t="shared" si="17"/>
        <v>6</v>
      </c>
      <c r="AA107" s="30"/>
      <c r="AB107" s="30"/>
      <c r="AC107" s="30"/>
      <c r="AD107" s="30"/>
      <c r="AE107" s="30"/>
      <c r="AF107" s="30"/>
      <c r="AG107" s="30"/>
      <c r="AH107" s="30"/>
      <c r="AI107" s="30"/>
      <c r="AJ107" s="32"/>
      <c r="AK107" s="32"/>
      <c r="AL107" s="32"/>
    </row>
    <row r="108" ht="14.25" customHeight="1">
      <c r="A108" s="23">
        <v>107.0</v>
      </c>
      <c r="B108" s="24" t="s">
        <v>29</v>
      </c>
      <c r="C108" s="25" t="s">
        <v>117</v>
      </c>
      <c r="D108" s="24"/>
      <c r="E108" s="24"/>
      <c r="F108" s="24"/>
      <c r="G108" s="24"/>
      <c r="H108" s="24"/>
      <c r="I108" s="24">
        <v>10496.25</v>
      </c>
      <c r="J108" s="26">
        <v>164.79999999999927</v>
      </c>
      <c r="K108" s="26"/>
      <c r="L108" s="26"/>
      <c r="M108" s="26"/>
      <c r="N108" s="26">
        <v>6.0</v>
      </c>
      <c r="O108" s="26">
        <f t="shared" si="1"/>
        <v>100</v>
      </c>
      <c r="P108" s="26">
        <f t="shared" ref="P108:P288" si="18">ROUND(F108+J108+O108,0)</f>
        <v>265</v>
      </c>
      <c r="Q108" s="27">
        <f t="shared" ref="Q108:Q288" si="19">IF(I108 = "N/A","",ROUND(SUM(D108+I108)-P108,0))</f>
        <v>10231</v>
      </c>
      <c r="R108" s="28">
        <f t="shared" si="4"/>
        <v>103087</v>
      </c>
      <c r="S108" s="29">
        <f t="shared" si="11"/>
        <v>0</v>
      </c>
      <c r="T108" s="30">
        <f t="shared" si="12"/>
        <v>794</v>
      </c>
      <c r="U108" s="33">
        <f t="shared" si="13"/>
        <v>838</v>
      </c>
      <c r="V108" s="33">
        <f t="shared" si="14"/>
        <v>759</v>
      </c>
      <c r="W108" s="30">
        <f t="shared" si="15"/>
        <v>90.6</v>
      </c>
      <c r="X108" s="31">
        <v>1200000.0</v>
      </c>
      <c r="Y108" s="30">
        <f t="shared" si="16"/>
        <v>1200000</v>
      </c>
      <c r="Z108" s="30">
        <f t="shared" si="17"/>
        <v>7</v>
      </c>
      <c r="AA108" s="30"/>
      <c r="AB108" s="30"/>
      <c r="AC108" s="30"/>
      <c r="AD108" s="30"/>
      <c r="AE108" s="30"/>
      <c r="AF108" s="30"/>
      <c r="AG108" s="30"/>
      <c r="AH108" s="30"/>
      <c r="AI108" s="30"/>
      <c r="AJ108" s="32"/>
      <c r="AK108" s="32"/>
      <c r="AL108" s="32"/>
    </row>
    <row r="109" ht="14.25" customHeight="1">
      <c r="A109" s="23">
        <v>108.0</v>
      </c>
      <c r="B109" s="24" t="s">
        <v>30</v>
      </c>
      <c r="C109" s="24" t="s">
        <v>118</v>
      </c>
      <c r="D109" s="24">
        <v>651.25</v>
      </c>
      <c r="E109" s="24"/>
      <c r="F109" s="24">
        <v>23.149999999999977</v>
      </c>
      <c r="G109" s="24"/>
      <c r="H109" s="24"/>
      <c r="I109" s="24">
        <v>-1710.0</v>
      </c>
      <c r="J109" s="26">
        <v>121.82999999999993</v>
      </c>
      <c r="K109" s="26"/>
      <c r="L109" s="26"/>
      <c r="M109" s="26"/>
      <c r="N109" s="26">
        <v>6.0</v>
      </c>
      <c r="O109" s="36">
        <f t="shared" si="1"/>
        <v>100</v>
      </c>
      <c r="P109" s="36">
        <f t="shared" si="18"/>
        <v>245</v>
      </c>
      <c r="Q109" s="37">
        <f t="shared" si="19"/>
        <v>-1304</v>
      </c>
      <c r="R109" s="38">
        <f t="shared" si="4"/>
        <v>101783</v>
      </c>
      <c r="S109" s="39">
        <f t="shared" si="11"/>
        <v>-1304</v>
      </c>
      <c r="T109" s="30">
        <f t="shared" si="12"/>
        <v>612</v>
      </c>
      <c r="U109" s="30">
        <f t="shared" si="13"/>
        <v>685</v>
      </c>
      <c r="V109" s="30">
        <f t="shared" si="14"/>
        <v>759</v>
      </c>
      <c r="W109" s="30">
        <f t="shared" si="15"/>
        <v>110.8</v>
      </c>
      <c r="X109" s="31">
        <v>1200000.0</v>
      </c>
      <c r="Y109" s="30">
        <f t="shared" si="16"/>
        <v>1200000</v>
      </c>
      <c r="Z109" s="30">
        <f t="shared" si="17"/>
        <v>6</v>
      </c>
      <c r="AA109" s="30"/>
      <c r="AB109" s="30"/>
      <c r="AC109" s="30"/>
      <c r="AD109" s="30"/>
      <c r="AE109" s="30"/>
      <c r="AF109" s="30"/>
      <c r="AG109" s="30"/>
      <c r="AH109" s="30"/>
      <c r="AI109" s="30"/>
      <c r="AJ109" s="32"/>
      <c r="AK109" s="32"/>
      <c r="AL109" s="32"/>
    </row>
    <row r="110" ht="14.25" customHeight="1">
      <c r="A110" s="23">
        <v>109.0</v>
      </c>
      <c r="B110" s="24" t="s">
        <v>26</v>
      </c>
      <c r="C110" s="24" t="s">
        <v>119</v>
      </c>
      <c r="D110" s="24">
        <v>690.0</v>
      </c>
      <c r="E110" s="24"/>
      <c r="F110" s="24">
        <v>361.94</v>
      </c>
      <c r="G110" s="24"/>
      <c r="H110" s="24"/>
      <c r="I110" s="24">
        <v>857.5</v>
      </c>
      <c r="J110" s="26">
        <v>738.94</v>
      </c>
      <c r="K110" s="26"/>
      <c r="L110" s="26"/>
      <c r="M110" s="26"/>
      <c r="N110" s="26">
        <v>6.0</v>
      </c>
      <c r="O110" s="36">
        <f t="shared" si="1"/>
        <v>100</v>
      </c>
      <c r="P110" s="36">
        <f t="shared" si="18"/>
        <v>1201</v>
      </c>
      <c r="Q110" s="37">
        <f t="shared" si="19"/>
        <v>347</v>
      </c>
      <c r="R110" s="38">
        <f t="shared" si="4"/>
        <v>102130</v>
      </c>
      <c r="S110" s="39">
        <f t="shared" si="11"/>
        <v>-957</v>
      </c>
      <c r="T110" s="30">
        <f t="shared" si="12"/>
        <v>716</v>
      </c>
      <c r="U110" s="33">
        <f t="shared" si="13"/>
        <v>681</v>
      </c>
      <c r="V110" s="33">
        <f t="shared" si="14"/>
        <v>770</v>
      </c>
      <c r="W110" s="30">
        <f t="shared" si="15"/>
        <v>113.1</v>
      </c>
      <c r="X110" s="31">
        <v>1200000.0</v>
      </c>
      <c r="Y110" s="30">
        <f t="shared" si="16"/>
        <v>1200000</v>
      </c>
      <c r="Z110" s="30">
        <f t="shared" si="17"/>
        <v>6</v>
      </c>
      <c r="AA110" s="30"/>
      <c r="AB110" s="30"/>
      <c r="AC110" s="30"/>
      <c r="AD110" s="30"/>
      <c r="AE110" s="30"/>
      <c r="AF110" s="30"/>
      <c r="AG110" s="30"/>
      <c r="AH110" s="30"/>
      <c r="AI110" s="30"/>
      <c r="AJ110" s="32"/>
      <c r="AK110" s="32"/>
      <c r="AL110" s="32"/>
    </row>
    <row r="111" ht="14.25" customHeight="1">
      <c r="A111" s="23">
        <v>110.0</v>
      </c>
      <c r="B111" s="24" t="s">
        <v>27</v>
      </c>
      <c r="C111" s="24" t="s">
        <v>120</v>
      </c>
      <c r="D111" s="24">
        <v>-2590.0</v>
      </c>
      <c r="E111" s="24"/>
      <c r="F111" s="24">
        <v>492.4499999999998</v>
      </c>
      <c r="G111" s="24"/>
      <c r="H111" s="24"/>
      <c r="I111" s="24">
        <v>648.75</v>
      </c>
      <c r="J111" s="26">
        <v>311.96</v>
      </c>
      <c r="K111" s="26"/>
      <c r="L111" s="26"/>
      <c r="M111" s="26"/>
      <c r="N111" s="26">
        <v>6.0</v>
      </c>
      <c r="O111" s="36">
        <f t="shared" si="1"/>
        <v>100</v>
      </c>
      <c r="P111" s="36">
        <f t="shared" si="18"/>
        <v>904</v>
      </c>
      <c r="Q111" s="37">
        <f t="shared" si="19"/>
        <v>-2845</v>
      </c>
      <c r="R111" s="38">
        <f t="shared" si="4"/>
        <v>99285</v>
      </c>
      <c r="S111" s="39">
        <f t="shared" si="11"/>
        <v>-3802</v>
      </c>
      <c r="T111" s="30">
        <f t="shared" si="12"/>
        <v>935</v>
      </c>
      <c r="U111" s="30">
        <f t="shared" si="13"/>
        <v>600</v>
      </c>
      <c r="V111" s="30">
        <f t="shared" si="14"/>
        <v>768</v>
      </c>
      <c r="W111" s="30">
        <f t="shared" si="15"/>
        <v>128</v>
      </c>
      <c r="X111" s="31">
        <v>1200000.0</v>
      </c>
      <c r="Y111" s="30">
        <f t="shared" si="16"/>
        <v>1200000</v>
      </c>
      <c r="Z111" s="30">
        <f t="shared" si="17"/>
        <v>5</v>
      </c>
      <c r="AA111" s="30"/>
      <c r="AB111" s="30"/>
      <c r="AC111" s="30"/>
      <c r="AD111" s="30"/>
      <c r="AE111" s="30"/>
      <c r="AF111" s="30"/>
      <c r="AG111" s="30"/>
      <c r="AH111" s="30"/>
      <c r="AI111" s="30"/>
      <c r="AJ111" s="32"/>
      <c r="AK111" s="32"/>
      <c r="AL111" s="32"/>
    </row>
    <row r="112" ht="14.25" customHeight="1">
      <c r="A112" s="23">
        <v>111.0</v>
      </c>
      <c r="B112" s="24" t="s">
        <v>28</v>
      </c>
      <c r="C112" s="24" t="s">
        <v>121</v>
      </c>
      <c r="D112" s="24">
        <v>-2885.0</v>
      </c>
      <c r="E112" s="24"/>
      <c r="F112" s="24">
        <v>996.8499999999999</v>
      </c>
      <c r="G112" s="24"/>
      <c r="H112" s="24"/>
      <c r="I112" s="24">
        <v>858.0</v>
      </c>
      <c r="J112" s="26">
        <v>432.0100000000002</v>
      </c>
      <c r="K112" s="26"/>
      <c r="L112" s="26"/>
      <c r="M112" s="26"/>
      <c r="N112" s="26">
        <v>6.0</v>
      </c>
      <c r="O112" s="36">
        <f t="shared" si="1"/>
        <v>100</v>
      </c>
      <c r="P112" s="36">
        <f t="shared" si="18"/>
        <v>1529</v>
      </c>
      <c r="Q112" s="37">
        <f t="shared" si="19"/>
        <v>-3556</v>
      </c>
      <c r="R112" s="38">
        <f t="shared" si="4"/>
        <v>95729</v>
      </c>
      <c r="S112" s="39">
        <f t="shared" si="11"/>
        <v>-7358</v>
      </c>
      <c r="T112" s="30">
        <f t="shared" si="12"/>
        <v>1934</v>
      </c>
      <c r="U112" s="33">
        <f t="shared" si="13"/>
        <v>558</v>
      </c>
      <c r="V112" s="33">
        <f t="shared" si="14"/>
        <v>782</v>
      </c>
      <c r="W112" s="30">
        <f t="shared" si="15"/>
        <v>140.1</v>
      </c>
      <c r="X112" s="31">
        <v>1200000.0</v>
      </c>
      <c r="Y112" s="30">
        <f t="shared" si="16"/>
        <v>1200000</v>
      </c>
      <c r="Z112" s="30">
        <f t="shared" si="17"/>
        <v>5</v>
      </c>
      <c r="AA112" s="30"/>
      <c r="AB112" s="30"/>
      <c r="AC112" s="30"/>
      <c r="AD112" s="30"/>
      <c r="AE112" s="30"/>
      <c r="AF112" s="30"/>
      <c r="AG112" s="30"/>
      <c r="AH112" s="30"/>
      <c r="AI112" s="30"/>
      <c r="AJ112" s="32"/>
      <c r="AK112" s="32"/>
      <c r="AL112" s="32"/>
    </row>
    <row r="113" ht="14.25" customHeight="1">
      <c r="A113" s="23">
        <v>112.0</v>
      </c>
      <c r="B113" s="24" t="s">
        <v>29</v>
      </c>
      <c r="C113" s="24" t="s">
        <v>122</v>
      </c>
      <c r="D113" s="24">
        <v>4932.5</v>
      </c>
      <c r="E113" s="24"/>
      <c r="F113" s="24">
        <v>496.02999999999975</v>
      </c>
      <c r="G113" s="24"/>
      <c r="H113" s="24"/>
      <c r="I113" s="24">
        <v>731.25</v>
      </c>
      <c r="J113" s="26">
        <v>242.35000000000002</v>
      </c>
      <c r="K113" s="26"/>
      <c r="L113" s="26"/>
      <c r="M113" s="26"/>
      <c r="N113" s="26">
        <v>6.0</v>
      </c>
      <c r="O113" s="36">
        <f t="shared" si="1"/>
        <v>100</v>
      </c>
      <c r="P113" s="36">
        <f t="shared" si="18"/>
        <v>838</v>
      </c>
      <c r="Q113" s="37">
        <f t="shared" si="19"/>
        <v>4826</v>
      </c>
      <c r="R113" s="38">
        <f t="shared" si="4"/>
        <v>100555</v>
      </c>
      <c r="S113" s="39">
        <f t="shared" si="11"/>
        <v>-2532</v>
      </c>
      <c r="T113" s="30">
        <f t="shared" si="12"/>
        <v>1830</v>
      </c>
      <c r="U113" s="33">
        <f t="shared" si="13"/>
        <v>605</v>
      </c>
      <c r="V113" s="33">
        <f t="shared" si="14"/>
        <v>787</v>
      </c>
      <c r="W113" s="30">
        <f t="shared" si="15"/>
        <v>130.1</v>
      </c>
      <c r="X113" s="31">
        <v>1200000.0</v>
      </c>
      <c r="Y113" s="30">
        <f t="shared" si="16"/>
        <v>1200000</v>
      </c>
      <c r="Z113" s="30">
        <f t="shared" si="17"/>
        <v>5</v>
      </c>
      <c r="AA113" s="30"/>
      <c r="AB113" s="30"/>
      <c r="AC113" s="30"/>
      <c r="AD113" s="30"/>
      <c r="AE113" s="30"/>
      <c r="AF113" s="30"/>
      <c r="AG113" s="30"/>
      <c r="AH113" s="30"/>
      <c r="AI113" s="30"/>
      <c r="AJ113" s="32"/>
      <c r="AK113" s="32"/>
      <c r="AL113" s="32"/>
    </row>
    <row r="114" ht="14.25" customHeight="1">
      <c r="A114" s="23">
        <v>113.0</v>
      </c>
      <c r="B114" s="24" t="s">
        <v>30</v>
      </c>
      <c r="C114" s="24" t="s">
        <v>123</v>
      </c>
      <c r="D114" s="24">
        <v>-2675.0</v>
      </c>
      <c r="E114" s="24"/>
      <c r="F114" s="24">
        <v>994.3499999999999</v>
      </c>
      <c r="G114" s="24"/>
      <c r="H114" s="24"/>
      <c r="I114" s="24">
        <v>2710.5</v>
      </c>
      <c r="J114" s="26">
        <v>470.1500000000001</v>
      </c>
      <c r="K114" s="26"/>
      <c r="L114" s="26"/>
      <c r="M114" s="26"/>
      <c r="N114" s="26">
        <v>6.0</v>
      </c>
      <c r="O114" s="36">
        <f t="shared" si="1"/>
        <v>100</v>
      </c>
      <c r="P114" s="36">
        <f t="shared" si="18"/>
        <v>1565</v>
      </c>
      <c r="Q114" s="37">
        <f t="shared" si="19"/>
        <v>-1530</v>
      </c>
      <c r="R114" s="38">
        <f t="shared" si="4"/>
        <v>99025</v>
      </c>
      <c r="S114" s="39">
        <f t="shared" si="11"/>
        <v>-4062</v>
      </c>
      <c r="T114" s="30">
        <f t="shared" si="12"/>
        <v>1814</v>
      </c>
      <c r="U114" s="30">
        <f t="shared" si="13"/>
        <v>594</v>
      </c>
      <c r="V114" s="30">
        <f t="shared" si="14"/>
        <v>797</v>
      </c>
      <c r="W114" s="30">
        <f t="shared" si="15"/>
        <v>134.2</v>
      </c>
      <c r="X114" s="31">
        <v>1200000.0</v>
      </c>
      <c r="Y114" s="30">
        <f t="shared" si="16"/>
        <v>1200000</v>
      </c>
      <c r="Z114" s="30">
        <f t="shared" si="17"/>
        <v>5</v>
      </c>
      <c r="AA114" s="30"/>
      <c r="AB114" s="30"/>
      <c r="AC114" s="30"/>
      <c r="AD114" s="30"/>
      <c r="AE114" s="30"/>
      <c r="AF114" s="30"/>
      <c r="AG114" s="30"/>
      <c r="AH114" s="30"/>
      <c r="AI114" s="30"/>
      <c r="AJ114" s="32"/>
      <c r="AK114" s="32"/>
      <c r="AL114" s="32"/>
    </row>
    <row r="115" ht="14.25" customHeight="1">
      <c r="A115" s="23">
        <v>114.0</v>
      </c>
      <c r="B115" s="24" t="s">
        <v>26</v>
      </c>
      <c r="C115" s="24" t="s">
        <v>124</v>
      </c>
      <c r="D115" s="24">
        <v>-2285.0</v>
      </c>
      <c r="E115" s="24"/>
      <c r="F115" s="24">
        <v>995.75</v>
      </c>
      <c r="G115" s="24"/>
      <c r="H115" s="24"/>
      <c r="I115" s="24">
        <v>11096.25</v>
      </c>
      <c r="J115" s="26">
        <v>325.1200000000008</v>
      </c>
      <c r="K115" s="26"/>
      <c r="L115" s="26"/>
      <c r="M115" s="26"/>
      <c r="N115" s="26">
        <v>6.0</v>
      </c>
      <c r="O115" s="36">
        <f t="shared" si="1"/>
        <v>100</v>
      </c>
      <c r="P115" s="36">
        <f t="shared" si="18"/>
        <v>1421</v>
      </c>
      <c r="Q115" s="37">
        <f t="shared" si="19"/>
        <v>7390</v>
      </c>
      <c r="R115" s="38">
        <f t="shared" si="4"/>
        <v>106415</v>
      </c>
      <c r="S115" s="39">
        <f t="shared" si="11"/>
        <v>0</v>
      </c>
      <c r="T115" s="30">
        <f t="shared" si="12"/>
        <v>1693</v>
      </c>
      <c r="U115" s="33">
        <f t="shared" si="13"/>
        <v>802</v>
      </c>
      <c r="V115" s="33">
        <f t="shared" si="14"/>
        <v>810</v>
      </c>
      <c r="W115" s="30">
        <f t="shared" si="15"/>
        <v>101</v>
      </c>
      <c r="X115" s="31">
        <v>1200000.0</v>
      </c>
      <c r="Y115" s="30">
        <f t="shared" si="16"/>
        <v>1200000</v>
      </c>
      <c r="Z115" s="30">
        <f t="shared" si="17"/>
        <v>7</v>
      </c>
      <c r="AA115" s="30"/>
      <c r="AB115" s="30"/>
      <c r="AC115" s="30"/>
      <c r="AD115" s="30"/>
      <c r="AE115" s="30"/>
      <c r="AF115" s="30"/>
      <c r="AG115" s="30"/>
      <c r="AH115" s="30"/>
      <c r="AI115" s="30"/>
      <c r="AJ115" s="32"/>
      <c r="AK115" s="32"/>
      <c r="AL115" s="32"/>
    </row>
    <row r="116" ht="14.25" customHeight="1">
      <c r="A116" s="23">
        <v>115.0</v>
      </c>
      <c r="B116" s="24" t="s">
        <v>27</v>
      </c>
      <c r="C116" s="24" t="s">
        <v>125</v>
      </c>
      <c r="D116" s="24">
        <v>1398.75</v>
      </c>
      <c r="E116" s="24"/>
      <c r="F116" s="24">
        <v>62.76999999999998</v>
      </c>
      <c r="G116" s="24"/>
      <c r="H116" s="24"/>
      <c r="I116" s="24">
        <v>6770.0</v>
      </c>
      <c r="J116" s="26">
        <v>139.05000000000018</v>
      </c>
      <c r="K116" s="26"/>
      <c r="L116" s="26"/>
      <c r="M116" s="26"/>
      <c r="N116" s="26">
        <v>6.0</v>
      </c>
      <c r="O116" s="36">
        <f t="shared" si="1"/>
        <v>100</v>
      </c>
      <c r="P116" s="36">
        <f t="shared" si="18"/>
        <v>302</v>
      </c>
      <c r="Q116" s="37">
        <f t="shared" si="19"/>
        <v>7867</v>
      </c>
      <c r="R116" s="38">
        <f t="shared" si="4"/>
        <v>114282</v>
      </c>
      <c r="S116" s="39">
        <f t="shared" si="11"/>
        <v>0</v>
      </c>
      <c r="T116" s="30">
        <f t="shared" si="12"/>
        <v>1821</v>
      </c>
      <c r="U116" s="30">
        <f t="shared" si="13"/>
        <v>826</v>
      </c>
      <c r="V116" s="33">
        <f t="shared" si="14"/>
        <v>809</v>
      </c>
      <c r="W116" s="30">
        <f t="shared" si="15"/>
        <v>97.9</v>
      </c>
      <c r="X116" s="31">
        <v>1200000.0</v>
      </c>
      <c r="Y116" s="30">
        <f t="shared" si="16"/>
        <v>1200000</v>
      </c>
      <c r="Z116" s="30">
        <f t="shared" si="17"/>
        <v>7</v>
      </c>
      <c r="AA116" s="30"/>
      <c r="AB116" s="30"/>
      <c r="AC116" s="30"/>
      <c r="AD116" s="30"/>
      <c r="AE116" s="30"/>
      <c r="AF116" s="30"/>
      <c r="AG116" s="30"/>
      <c r="AH116" s="30"/>
      <c r="AI116" s="30"/>
      <c r="AJ116" s="32"/>
      <c r="AK116" s="32"/>
      <c r="AL116" s="32"/>
    </row>
    <row r="117" ht="14.25" customHeight="1">
      <c r="A117" s="23">
        <v>116.0</v>
      </c>
      <c r="B117" s="24" t="s">
        <v>28</v>
      </c>
      <c r="C117" s="24" t="s">
        <v>126</v>
      </c>
      <c r="D117" s="24">
        <v>1348.75</v>
      </c>
      <c r="E117" s="24"/>
      <c r="F117" s="24">
        <v>25.329999999999927</v>
      </c>
      <c r="G117" s="24"/>
      <c r="H117" s="24"/>
      <c r="I117" s="24">
        <v>12458.5</v>
      </c>
      <c r="J117" s="26">
        <v>79.27000000000044</v>
      </c>
      <c r="K117" s="26"/>
      <c r="L117" s="26"/>
      <c r="M117" s="26"/>
      <c r="N117" s="26">
        <v>6.0</v>
      </c>
      <c r="O117" s="36">
        <f t="shared" si="1"/>
        <v>100</v>
      </c>
      <c r="P117" s="36">
        <f t="shared" si="18"/>
        <v>205</v>
      </c>
      <c r="Q117" s="37">
        <f t="shared" si="19"/>
        <v>13602</v>
      </c>
      <c r="R117" s="38">
        <f t="shared" si="4"/>
        <v>127884</v>
      </c>
      <c r="S117" s="39">
        <f t="shared" si="11"/>
        <v>0</v>
      </c>
      <c r="T117" s="30">
        <f t="shared" si="12"/>
        <v>1729</v>
      </c>
      <c r="U117" s="33">
        <f t="shared" si="13"/>
        <v>954</v>
      </c>
      <c r="V117" s="33">
        <f t="shared" si="14"/>
        <v>807</v>
      </c>
      <c r="W117" s="30">
        <f t="shared" si="15"/>
        <v>84.6</v>
      </c>
      <c r="X117" s="31">
        <v>1200000.0</v>
      </c>
      <c r="Y117" s="30">
        <f t="shared" si="16"/>
        <v>1200000</v>
      </c>
      <c r="Z117" s="30">
        <f t="shared" si="17"/>
        <v>8</v>
      </c>
      <c r="AA117" s="30"/>
      <c r="AB117" s="30"/>
      <c r="AC117" s="30"/>
      <c r="AD117" s="30"/>
      <c r="AE117" s="30"/>
      <c r="AF117" s="30"/>
      <c r="AG117" s="30"/>
      <c r="AH117" s="30"/>
      <c r="AI117" s="30"/>
      <c r="AJ117" s="32"/>
      <c r="AK117" s="32"/>
      <c r="AL117" s="32"/>
    </row>
    <row r="118" ht="14.25" customHeight="1">
      <c r="A118" s="23">
        <v>117.0</v>
      </c>
      <c r="B118" s="24" t="s">
        <v>29</v>
      </c>
      <c r="C118" s="24" t="s">
        <v>127</v>
      </c>
      <c r="D118" s="24">
        <v>0.0</v>
      </c>
      <c r="E118" s="24"/>
      <c r="F118" s="24">
        <v>0.0</v>
      </c>
      <c r="G118" s="24"/>
      <c r="H118" s="24"/>
      <c r="I118" s="24">
        <v>-2391.25</v>
      </c>
      <c r="J118" s="26">
        <v>229.96000000000004</v>
      </c>
      <c r="K118" s="26"/>
      <c r="L118" s="26"/>
      <c r="M118" s="26"/>
      <c r="N118" s="26">
        <v>6.0</v>
      </c>
      <c r="O118" s="36">
        <f t="shared" si="1"/>
        <v>100</v>
      </c>
      <c r="P118" s="36">
        <f t="shared" si="18"/>
        <v>330</v>
      </c>
      <c r="Q118" s="37">
        <f t="shared" si="19"/>
        <v>-2721</v>
      </c>
      <c r="R118" s="38">
        <f t="shared" si="4"/>
        <v>125163</v>
      </c>
      <c r="S118" s="39">
        <f t="shared" si="11"/>
        <v>-2721</v>
      </c>
      <c r="T118" s="30">
        <f t="shared" si="12"/>
        <v>1637</v>
      </c>
      <c r="U118" s="33">
        <f t="shared" si="13"/>
        <v>913</v>
      </c>
      <c r="V118" s="33">
        <f t="shared" si="14"/>
        <v>779</v>
      </c>
      <c r="W118" s="30">
        <f t="shared" si="15"/>
        <v>85.3</v>
      </c>
      <c r="X118" s="31">
        <v>1200000.0</v>
      </c>
      <c r="Y118" s="30">
        <f t="shared" si="16"/>
        <v>1200000</v>
      </c>
      <c r="Z118" s="30">
        <f t="shared" si="17"/>
        <v>8</v>
      </c>
      <c r="AA118" s="30"/>
      <c r="AB118" s="30"/>
      <c r="AC118" s="30"/>
      <c r="AD118" s="30"/>
      <c r="AE118" s="30"/>
      <c r="AF118" s="30"/>
      <c r="AG118" s="30"/>
      <c r="AH118" s="30"/>
      <c r="AI118" s="30"/>
      <c r="AJ118" s="32"/>
      <c r="AK118" s="32"/>
      <c r="AL118" s="32"/>
    </row>
    <row r="119" ht="14.25" customHeight="1">
      <c r="A119" s="23">
        <v>118.0</v>
      </c>
      <c r="B119" s="24" t="s">
        <v>30</v>
      </c>
      <c r="C119" s="24" t="s">
        <v>128</v>
      </c>
      <c r="D119" s="24">
        <v>0.0</v>
      </c>
      <c r="E119" s="24"/>
      <c r="F119" s="24">
        <v>0.0</v>
      </c>
      <c r="G119" s="24"/>
      <c r="H119" s="24"/>
      <c r="I119" s="24">
        <v>6158.75</v>
      </c>
      <c r="J119" s="26">
        <v>66.56999999999971</v>
      </c>
      <c r="K119" s="26"/>
      <c r="L119" s="26"/>
      <c r="M119" s="26"/>
      <c r="N119" s="26">
        <v>6.0</v>
      </c>
      <c r="O119" s="36">
        <f t="shared" si="1"/>
        <v>100</v>
      </c>
      <c r="P119" s="36">
        <f t="shared" si="18"/>
        <v>167</v>
      </c>
      <c r="Q119" s="37">
        <f t="shared" si="19"/>
        <v>5992</v>
      </c>
      <c r="R119" s="38">
        <f t="shared" si="4"/>
        <v>131155</v>
      </c>
      <c r="S119" s="39">
        <f t="shared" si="11"/>
        <v>0</v>
      </c>
      <c r="T119" s="30">
        <f t="shared" si="12"/>
        <v>1748</v>
      </c>
      <c r="U119" s="30">
        <f t="shared" si="13"/>
        <v>1115</v>
      </c>
      <c r="V119" s="30">
        <f t="shared" si="14"/>
        <v>768</v>
      </c>
      <c r="W119" s="30">
        <f t="shared" si="15"/>
        <v>68.9</v>
      </c>
      <c r="X119" s="31">
        <v>1200000.0</v>
      </c>
      <c r="Y119" s="30">
        <f t="shared" si="16"/>
        <v>1200000</v>
      </c>
      <c r="Z119" s="30">
        <f t="shared" si="17"/>
        <v>9</v>
      </c>
      <c r="AA119" s="30"/>
      <c r="AB119" s="30"/>
      <c r="AC119" s="30"/>
      <c r="AD119" s="30"/>
      <c r="AE119" s="30"/>
      <c r="AF119" s="30"/>
      <c r="AG119" s="30"/>
      <c r="AH119" s="30"/>
      <c r="AI119" s="30"/>
      <c r="AJ119" s="32"/>
      <c r="AK119" s="32"/>
      <c r="AL119" s="32"/>
    </row>
    <row r="120" ht="14.25" customHeight="1">
      <c r="A120" s="23">
        <v>119.0</v>
      </c>
      <c r="B120" s="24" t="s">
        <v>26</v>
      </c>
      <c r="C120" s="24" t="s">
        <v>129</v>
      </c>
      <c r="D120" s="24">
        <v>0.0</v>
      </c>
      <c r="E120" s="24"/>
      <c r="F120" s="24">
        <v>0.0</v>
      </c>
      <c r="G120" s="24"/>
      <c r="H120" s="24"/>
      <c r="I120" s="24">
        <v>5495.0</v>
      </c>
      <c r="J120" s="26">
        <v>215.27000000000044</v>
      </c>
      <c r="K120" s="26"/>
      <c r="L120" s="26"/>
      <c r="M120" s="26"/>
      <c r="N120" s="26">
        <v>6.0</v>
      </c>
      <c r="O120" s="36">
        <f t="shared" si="1"/>
        <v>100</v>
      </c>
      <c r="P120" s="36">
        <f t="shared" si="18"/>
        <v>315</v>
      </c>
      <c r="Q120" s="37">
        <f t="shared" si="19"/>
        <v>5180</v>
      </c>
      <c r="R120" s="38">
        <f t="shared" si="4"/>
        <v>136335</v>
      </c>
      <c r="S120" s="39">
        <f t="shared" si="11"/>
        <v>0</v>
      </c>
      <c r="T120" s="30">
        <f t="shared" si="12"/>
        <v>1767</v>
      </c>
      <c r="U120" s="30">
        <f t="shared" si="13"/>
        <v>1338</v>
      </c>
      <c r="V120" s="30">
        <f t="shared" si="14"/>
        <v>770</v>
      </c>
      <c r="W120" s="30">
        <f t="shared" si="15"/>
        <v>57.5</v>
      </c>
      <c r="X120" s="31">
        <v>1200000.0</v>
      </c>
      <c r="Y120" s="30">
        <f t="shared" si="16"/>
        <v>1200000</v>
      </c>
      <c r="Z120" s="30">
        <f t="shared" si="17"/>
        <v>11</v>
      </c>
      <c r="AA120" s="30"/>
      <c r="AB120" s="30"/>
      <c r="AC120" s="30"/>
      <c r="AD120" s="30"/>
      <c r="AE120" s="30"/>
      <c r="AF120" s="30"/>
      <c r="AG120" s="30"/>
      <c r="AH120" s="30"/>
      <c r="AI120" s="30"/>
      <c r="AJ120" s="32"/>
      <c r="AK120" s="32"/>
      <c r="AL120" s="32"/>
    </row>
    <row r="121" ht="14.25" customHeight="1">
      <c r="A121" s="23">
        <v>120.0</v>
      </c>
      <c r="B121" s="24" t="s">
        <v>27</v>
      </c>
      <c r="C121" s="24" t="s">
        <v>130</v>
      </c>
      <c r="D121" s="24">
        <v>0.0</v>
      </c>
      <c r="E121" s="24"/>
      <c r="F121" s="24">
        <v>0.0</v>
      </c>
      <c r="G121" s="24"/>
      <c r="H121" s="24"/>
      <c r="I121" s="24">
        <v>-1275.0</v>
      </c>
      <c r="J121" s="26">
        <v>82.44000000000005</v>
      </c>
      <c r="K121" s="26"/>
      <c r="L121" s="26"/>
      <c r="M121" s="26"/>
      <c r="N121" s="26">
        <v>6.0</v>
      </c>
      <c r="O121" s="36">
        <f t="shared" si="1"/>
        <v>100</v>
      </c>
      <c r="P121" s="36">
        <f t="shared" si="18"/>
        <v>182</v>
      </c>
      <c r="Q121" s="37">
        <f t="shared" si="19"/>
        <v>-1457</v>
      </c>
      <c r="R121" s="38">
        <f t="shared" si="4"/>
        <v>134878</v>
      </c>
      <c r="S121" s="39">
        <f t="shared" si="11"/>
        <v>-1457</v>
      </c>
      <c r="T121" s="30">
        <f t="shared" si="12"/>
        <v>1718</v>
      </c>
      <c r="U121" s="30">
        <f t="shared" si="13"/>
        <v>1375</v>
      </c>
      <c r="V121" s="30">
        <f t="shared" si="14"/>
        <v>768</v>
      </c>
      <c r="W121" s="30">
        <f t="shared" si="15"/>
        <v>55.9</v>
      </c>
      <c r="X121" s="31">
        <v>1200000.0</v>
      </c>
      <c r="Y121" s="30">
        <f t="shared" si="16"/>
        <v>1200000</v>
      </c>
      <c r="Z121" s="30">
        <f t="shared" si="17"/>
        <v>11</v>
      </c>
      <c r="AA121" s="30"/>
      <c r="AB121" s="30"/>
      <c r="AC121" s="30"/>
      <c r="AD121" s="30"/>
      <c r="AE121" s="30"/>
      <c r="AF121" s="30"/>
      <c r="AG121" s="30"/>
      <c r="AH121" s="30"/>
      <c r="AI121" s="30"/>
      <c r="AJ121" s="32"/>
      <c r="AK121" s="32"/>
      <c r="AL121" s="32"/>
    </row>
    <row r="122" ht="14.25" customHeight="1">
      <c r="A122" s="23">
        <v>121.0</v>
      </c>
      <c r="B122" s="24" t="s">
        <v>28</v>
      </c>
      <c r="C122" s="24" t="s">
        <v>131</v>
      </c>
      <c r="D122" s="24">
        <v>0.0</v>
      </c>
      <c r="E122" s="24"/>
      <c r="F122" s="24">
        <v>0.0</v>
      </c>
      <c r="G122" s="24"/>
      <c r="H122" s="24"/>
      <c r="I122" s="24">
        <v>4240.0</v>
      </c>
      <c r="J122" s="26">
        <v>148.92000000000007</v>
      </c>
      <c r="K122" s="26"/>
      <c r="L122" s="26"/>
      <c r="M122" s="26"/>
      <c r="N122" s="26">
        <v>6.0</v>
      </c>
      <c r="O122" s="36">
        <f t="shared" si="1"/>
        <v>100</v>
      </c>
      <c r="P122" s="36">
        <f t="shared" si="18"/>
        <v>249</v>
      </c>
      <c r="Q122" s="37">
        <f t="shared" si="19"/>
        <v>3991</v>
      </c>
      <c r="R122" s="38">
        <f t="shared" si="4"/>
        <v>138869</v>
      </c>
      <c r="S122" s="39">
        <f t="shared" si="11"/>
        <v>0</v>
      </c>
      <c r="T122" s="30">
        <f t="shared" si="12"/>
        <v>1492</v>
      </c>
      <c r="U122" s="30">
        <f t="shared" si="13"/>
        <v>1413</v>
      </c>
      <c r="V122" s="30">
        <f t="shared" si="14"/>
        <v>765</v>
      </c>
      <c r="W122" s="30">
        <f t="shared" si="15"/>
        <v>54.1</v>
      </c>
      <c r="X122" s="31">
        <v>1200000.0</v>
      </c>
      <c r="Y122" s="30">
        <f t="shared" si="16"/>
        <v>1200000</v>
      </c>
      <c r="Z122" s="30">
        <f t="shared" si="17"/>
        <v>12</v>
      </c>
      <c r="AA122" s="30"/>
      <c r="AB122" s="30"/>
      <c r="AC122" s="30"/>
      <c r="AD122" s="30"/>
      <c r="AE122" s="30"/>
      <c r="AF122" s="30"/>
      <c r="AG122" s="30"/>
      <c r="AH122" s="30"/>
      <c r="AI122" s="30"/>
      <c r="AJ122" s="32"/>
      <c r="AK122" s="32"/>
      <c r="AL122" s="32"/>
    </row>
    <row r="123" ht="14.25" customHeight="1">
      <c r="A123" s="23">
        <v>122.0</v>
      </c>
      <c r="B123" s="24" t="s">
        <v>29</v>
      </c>
      <c r="C123" s="24" t="s">
        <v>132</v>
      </c>
      <c r="D123" s="24">
        <v>0.0</v>
      </c>
      <c r="E123" s="24"/>
      <c r="F123" s="24">
        <v>0.0</v>
      </c>
      <c r="G123" s="24"/>
      <c r="H123" s="24"/>
      <c r="I123" s="24">
        <v>8060.0</v>
      </c>
      <c r="J123" s="26">
        <v>147.46000000000004</v>
      </c>
      <c r="K123" s="26"/>
      <c r="L123" s="26"/>
      <c r="M123" s="26"/>
      <c r="N123" s="26">
        <v>6.0</v>
      </c>
      <c r="O123" s="36">
        <f t="shared" si="1"/>
        <v>100</v>
      </c>
      <c r="P123" s="36">
        <f t="shared" si="18"/>
        <v>247</v>
      </c>
      <c r="Q123" s="37">
        <f t="shared" si="19"/>
        <v>7813</v>
      </c>
      <c r="R123" s="38">
        <f t="shared" si="4"/>
        <v>146682</v>
      </c>
      <c r="S123" s="39">
        <f t="shared" si="11"/>
        <v>0</v>
      </c>
      <c r="T123" s="30">
        <f t="shared" si="12"/>
        <v>1608</v>
      </c>
      <c r="U123" s="30">
        <f t="shared" si="13"/>
        <v>1568</v>
      </c>
      <c r="V123" s="30">
        <f t="shared" si="14"/>
        <v>758</v>
      </c>
      <c r="W123" s="30">
        <f t="shared" si="15"/>
        <v>48.3</v>
      </c>
      <c r="X123" s="31">
        <v>1200000.0</v>
      </c>
      <c r="Y123" s="30">
        <f t="shared" si="16"/>
        <v>1200000</v>
      </c>
      <c r="Z123" s="30">
        <f t="shared" si="17"/>
        <v>13</v>
      </c>
      <c r="AA123" s="30"/>
      <c r="AB123" s="30"/>
      <c r="AC123" s="30"/>
      <c r="AD123" s="30"/>
      <c r="AE123" s="30"/>
      <c r="AF123" s="30"/>
      <c r="AG123" s="30"/>
      <c r="AH123" s="30"/>
      <c r="AI123" s="30"/>
      <c r="AJ123" s="32"/>
      <c r="AK123" s="32"/>
      <c r="AL123" s="32"/>
    </row>
    <row r="124" ht="14.25" customHeight="1">
      <c r="A124" s="23">
        <v>123.0</v>
      </c>
      <c r="B124" s="24" t="s">
        <v>30</v>
      </c>
      <c r="C124" s="24" t="s">
        <v>133</v>
      </c>
      <c r="D124" s="24">
        <v>0.0</v>
      </c>
      <c r="E124" s="24"/>
      <c r="F124" s="24">
        <v>0.0</v>
      </c>
      <c r="G124" s="24"/>
      <c r="H124" s="24"/>
      <c r="I124" s="24">
        <v>196.25</v>
      </c>
      <c r="J124" s="26">
        <v>133.47</v>
      </c>
      <c r="K124" s="26"/>
      <c r="L124" s="26"/>
      <c r="M124" s="26"/>
      <c r="N124" s="26">
        <v>6.0</v>
      </c>
      <c r="O124" s="36">
        <f t="shared" si="1"/>
        <v>100</v>
      </c>
      <c r="P124" s="36">
        <f t="shared" si="18"/>
        <v>233</v>
      </c>
      <c r="Q124" s="37">
        <f t="shared" si="19"/>
        <v>-37</v>
      </c>
      <c r="R124" s="38">
        <f t="shared" si="4"/>
        <v>146645</v>
      </c>
      <c r="S124" s="39">
        <f t="shared" si="11"/>
        <v>-37</v>
      </c>
      <c r="T124" s="30">
        <f t="shared" si="12"/>
        <v>1547</v>
      </c>
      <c r="U124" s="30">
        <f t="shared" si="13"/>
        <v>1532</v>
      </c>
      <c r="V124" s="30">
        <f t="shared" si="14"/>
        <v>751</v>
      </c>
      <c r="W124" s="30">
        <f t="shared" si="15"/>
        <v>49</v>
      </c>
      <c r="X124" s="31">
        <v>1200000.0</v>
      </c>
      <c r="Y124" s="30">
        <f t="shared" si="16"/>
        <v>1200000</v>
      </c>
      <c r="Z124" s="30">
        <f t="shared" si="17"/>
        <v>13</v>
      </c>
      <c r="AA124" s="30"/>
      <c r="AB124" s="30"/>
      <c r="AC124" s="30"/>
      <c r="AD124" s="30"/>
      <c r="AE124" s="30"/>
      <c r="AF124" s="30"/>
      <c r="AG124" s="30"/>
      <c r="AH124" s="30"/>
      <c r="AI124" s="30"/>
      <c r="AJ124" s="32"/>
      <c r="AK124" s="32"/>
      <c r="AL124" s="32"/>
    </row>
    <row r="125" ht="14.25" customHeight="1">
      <c r="A125" s="23">
        <v>124.0</v>
      </c>
      <c r="B125" s="24" t="s">
        <v>26</v>
      </c>
      <c r="C125" s="24" t="s">
        <v>134</v>
      </c>
      <c r="D125" s="24">
        <v>0.0</v>
      </c>
      <c r="E125" s="24"/>
      <c r="F125" s="24">
        <v>0.0</v>
      </c>
      <c r="G125" s="24"/>
      <c r="H125" s="24"/>
      <c r="I125" s="24">
        <v>2888.75</v>
      </c>
      <c r="J125" s="26">
        <v>353.8000000000002</v>
      </c>
      <c r="K125" s="26"/>
      <c r="L125" s="26"/>
      <c r="M125" s="26"/>
      <c r="N125" s="26">
        <v>6.0</v>
      </c>
      <c r="O125" s="36">
        <f t="shared" si="1"/>
        <v>100</v>
      </c>
      <c r="P125" s="36">
        <f t="shared" si="18"/>
        <v>454</v>
      </c>
      <c r="Q125" s="37">
        <f t="shared" si="19"/>
        <v>2435</v>
      </c>
      <c r="R125" s="38">
        <f t="shared" si="4"/>
        <v>149080</v>
      </c>
      <c r="S125" s="39">
        <f t="shared" si="11"/>
        <v>0</v>
      </c>
      <c r="T125" s="30">
        <f t="shared" si="12"/>
        <v>1697</v>
      </c>
      <c r="U125" s="30">
        <f t="shared" si="13"/>
        <v>1596</v>
      </c>
      <c r="V125" s="30">
        <f t="shared" si="14"/>
        <v>751</v>
      </c>
      <c r="W125" s="30">
        <f t="shared" si="15"/>
        <v>47.1</v>
      </c>
      <c r="X125" s="31">
        <v>1200000.0</v>
      </c>
      <c r="Y125" s="30">
        <f t="shared" si="16"/>
        <v>1200000</v>
      </c>
      <c r="Z125" s="30">
        <f t="shared" si="17"/>
        <v>13</v>
      </c>
      <c r="AA125" s="30"/>
      <c r="AB125" s="30"/>
      <c r="AC125" s="30"/>
      <c r="AD125" s="30"/>
      <c r="AE125" s="30"/>
      <c r="AF125" s="30"/>
      <c r="AG125" s="30"/>
      <c r="AH125" s="30"/>
      <c r="AI125" s="30"/>
      <c r="AJ125" s="32"/>
      <c r="AK125" s="32"/>
      <c r="AL125" s="32"/>
    </row>
    <row r="126" ht="14.25" customHeight="1">
      <c r="A126" s="23">
        <v>125.0</v>
      </c>
      <c r="B126" s="24" t="s">
        <v>27</v>
      </c>
      <c r="C126" s="24" t="s">
        <v>135</v>
      </c>
      <c r="D126" s="24">
        <v>0.0</v>
      </c>
      <c r="E126" s="24"/>
      <c r="F126" s="24">
        <v>0.0</v>
      </c>
      <c r="G126" s="24"/>
      <c r="H126" s="24"/>
      <c r="I126" s="24">
        <v>6663.0</v>
      </c>
      <c r="J126" s="26">
        <v>127.60999999999967</v>
      </c>
      <c r="K126" s="26"/>
      <c r="L126" s="26"/>
      <c r="M126" s="26"/>
      <c r="N126" s="26">
        <v>6.0</v>
      </c>
      <c r="O126" s="36">
        <f t="shared" si="1"/>
        <v>100</v>
      </c>
      <c r="P126" s="36">
        <f t="shared" si="18"/>
        <v>228</v>
      </c>
      <c r="Q126" s="37">
        <f t="shared" si="19"/>
        <v>6435</v>
      </c>
      <c r="R126" s="38">
        <f t="shared" si="4"/>
        <v>155515</v>
      </c>
      <c r="S126" s="39">
        <f t="shared" si="11"/>
        <v>0</v>
      </c>
      <c r="T126" s="30">
        <f t="shared" si="12"/>
        <v>1800</v>
      </c>
      <c r="U126" s="30">
        <f t="shared" si="13"/>
        <v>1613</v>
      </c>
      <c r="V126" s="30">
        <f t="shared" si="14"/>
        <v>750</v>
      </c>
      <c r="W126" s="30">
        <f t="shared" si="15"/>
        <v>46.5</v>
      </c>
      <c r="X126" s="31">
        <v>1200000.0</v>
      </c>
      <c r="Y126" s="30">
        <f t="shared" si="16"/>
        <v>1200000</v>
      </c>
      <c r="Z126" s="30">
        <f t="shared" si="17"/>
        <v>13</v>
      </c>
      <c r="AA126" s="30"/>
      <c r="AB126" s="30"/>
      <c r="AC126" s="30"/>
      <c r="AD126" s="30"/>
      <c r="AE126" s="30"/>
      <c r="AF126" s="30"/>
      <c r="AG126" s="30"/>
      <c r="AH126" s="30"/>
      <c r="AI126" s="30"/>
      <c r="AJ126" s="32"/>
      <c r="AK126" s="32"/>
      <c r="AL126" s="32"/>
    </row>
    <row r="127" ht="14.25" customHeight="1">
      <c r="A127" s="23">
        <v>126.0</v>
      </c>
      <c r="B127" s="24" t="s">
        <v>28</v>
      </c>
      <c r="C127" s="24" t="s">
        <v>136</v>
      </c>
      <c r="D127" s="24">
        <v>0.0</v>
      </c>
      <c r="E127" s="24"/>
      <c r="F127" s="24">
        <v>0.0</v>
      </c>
      <c r="G127" s="24"/>
      <c r="H127" s="24"/>
      <c r="I127" s="24">
        <v>1460.25</v>
      </c>
      <c r="J127" s="26">
        <v>751.72</v>
      </c>
      <c r="K127" s="26"/>
      <c r="L127" s="26"/>
      <c r="M127" s="26"/>
      <c r="N127" s="26">
        <v>6.0</v>
      </c>
      <c r="O127" s="36">
        <f t="shared" si="1"/>
        <v>100</v>
      </c>
      <c r="P127" s="36">
        <f t="shared" si="18"/>
        <v>852</v>
      </c>
      <c r="Q127" s="37">
        <f t="shared" si="19"/>
        <v>608</v>
      </c>
      <c r="R127" s="38">
        <f t="shared" si="4"/>
        <v>156123</v>
      </c>
      <c r="S127" s="39">
        <f t="shared" si="11"/>
        <v>0</v>
      </c>
      <c r="T127" s="30">
        <f t="shared" si="12"/>
        <v>1648</v>
      </c>
      <c r="U127" s="30">
        <f t="shared" si="13"/>
        <v>1587</v>
      </c>
      <c r="V127" s="30">
        <f t="shared" si="14"/>
        <v>755</v>
      </c>
      <c r="W127" s="30">
        <f t="shared" si="15"/>
        <v>47.6</v>
      </c>
      <c r="X127" s="31">
        <v>1200000.0</v>
      </c>
      <c r="Y127" s="30">
        <f t="shared" si="16"/>
        <v>1200000</v>
      </c>
      <c r="Z127" s="30">
        <f t="shared" si="17"/>
        <v>13</v>
      </c>
      <c r="AA127" s="30"/>
      <c r="AB127" s="30"/>
      <c r="AC127" s="30"/>
      <c r="AD127" s="30"/>
      <c r="AE127" s="30"/>
      <c r="AF127" s="30"/>
      <c r="AG127" s="30"/>
      <c r="AH127" s="30"/>
      <c r="AI127" s="30"/>
      <c r="AJ127" s="32"/>
      <c r="AK127" s="32"/>
      <c r="AL127" s="32"/>
    </row>
    <row r="128" ht="14.25" customHeight="1">
      <c r="A128" s="23">
        <v>127.0</v>
      </c>
      <c r="B128" s="24" t="s">
        <v>29</v>
      </c>
      <c r="C128" s="24" t="s">
        <v>137</v>
      </c>
      <c r="D128" s="24">
        <v>0.0</v>
      </c>
      <c r="E128" s="24"/>
      <c r="F128" s="24">
        <v>0.0</v>
      </c>
      <c r="G128" s="24"/>
      <c r="H128" s="24"/>
      <c r="I128" s="24">
        <v>5056.0</v>
      </c>
      <c r="J128" s="26">
        <v>814.3900000000003</v>
      </c>
      <c r="K128" s="26"/>
      <c r="L128" s="26"/>
      <c r="M128" s="26"/>
      <c r="N128" s="26">
        <v>6.0</v>
      </c>
      <c r="O128" s="36">
        <f t="shared" si="1"/>
        <v>100</v>
      </c>
      <c r="P128" s="36">
        <f t="shared" si="18"/>
        <v>914</v>
      </c>
      <c r="Q128" s="37">
        <f t="shared" si="19"/>
        <v>4142</v>
      </c>
      <c r="R128" s="38">
        <f t="shared" si="4"/>
        <v>160265</v>
      </c>
      <c r="S128" s="39">
        <f t="shared" si="11"/>
        <v>0</v>
      </c>
      <c r="T128" s="30">
        <f t="shared" si="12"/>
        <v>1752</v>
      </c>
      <c r="U128" s="30">
        <f t="shared" si="13"/>
        <v>1592</v>
      </c>
      <c r="V128" s="30">
        <f t="shared" si="14"/>
        <v>759</v>
      </c>
      <c r="W128" s="30">
        <f t="shared" si="15"/>
        <v>47.7</v>
      </c>
      <c r="X128" s="31">
        <v>1200000.0</v>
      </c>
      <c r="Y128" s="30">
        <f t="shared" si="16"/>
        <v>1200000</v>
      </c>
      <c r="Z128" s="30">
        <f t="shared" si="17"/>
        <v>13</v>
      </c>
      <c r="AA128" s="30"/>
      <c r="AB128" s="30"/>
      <c r="AC128" s="30"/>
      <c r="AD128" s="30"/>
      <c r="AE128" s="30"/>
      <c r="AF128" s="30"/>
      <c r="AG128" s="30"/>
      <c r="AH128" s="30"/>
      <c r="AI128" s="30"/>
      <c r="AJ128" s="32"/>
      <c r="AK128" s="32"/>
      <c r="AL128" s="32"/>
    </row>
    <row r="129" ht="14.25" customHeight="1">
      <c r="A129" s="23">
        <v>128.0</v>
      </c>
      <c r="B129" s="24" t="s">
        <v>30</v>
      </c>
      <c r="C129" s="24" t="s">
        <v>138</v>
      </c>
      <c r="D129" s="24">
        <v>0.0</v>
      </c>
      <c r="E129" s="24"/>
      <c r="F129" s="24">
        <v>0.0</v>
      </c>
      <c r="G129" s="24"/>
      <c r="H129" s="24"/>
      <c r="I129" s="24">
        <v>503.0</v>
      </c>
      <c r="J129" s="26">
        <v>284.44</v>
      </c>
      <c r="K129" s="26"/>
      <c r="L129" s="26"/>
      <c r="M129" s="26"/>
      <c r="N129" s="26">
        <v>6.0</v>
      </c>
      <c r="O129" s="36">
        <f t="shared" si="1"/>
        <v>100</v>
      </c>
      <c r="P129" s="36">
        <f t="shared" si="18"/>
        <v>384</v>
      </c>
      <c r="Q129" s="37">
        <f t="shared" si="19"/>
        <v>119</v>
      </c>
      <c r="R129" s="38">
        <f t="shared" si="4"/>
        <v>160384</v>
      </c>
      <c r="S129" s="39">
        <f t="shared" si="11"/>
        <v>0</v>
      </c>
      <c r="T129" s="30">
        <f t="shared" si="12"/>
        <v>1551</v>
      </c>
      <c r="U129" s="30">
        <f t="shared" si="13"/>
        <v>1617</v>
      </c>
      <c r="V129" s="30">
        <f t="shared" si="14"/>
        <v>754</v>
      </c>
      <c r="W129" s="30">
        <f t="shared" si="15"/>
        <v>46.6</v>
      </c>
      <c r="X129" s="31">
        <v>1200000.0</v>
      </c>
      <c r="Y129" s="30">
        <f t="shared" si="16"/>
        <v>1200000</v>
      </c>
      <c r="Z129" s="30">
        <f t="shared" si="17"/>
        <v>13</v>
      </c>
      <c r="AA129" s="30"/>
      <c r="AB129" s="30"/>
      <c r="AC129" s="30"/>
      <c r="AD129" s="30"/>
      <c r="AE129" s="30"/>
      <c r="AF129" s="30"/>
      <c r="AG129" s="30"/>
      <c r="AH129" s="30"/>
      <c r="AI129" s="30"/>
      <c r="AJ129" s="32"/>
      <c r="AK129" s="32"/>
      <c r="AL129" s="32"/>
    </row>
    <row r="130" ht="14.25" customHeight="1">
      <c r="A130" s="23">
        <v>129.0</v>
      </c>
      <c r="B130" s="24" t="s">
        <v>26</v>
      </c>
      <c r="C130" s="24" t="s">
        <v>139</v>
      </c>
      <c r="D130" s="24">
        <v>0.0</v>
      </c>
      <c r="E130" s="24"/>
      <c r="F130" s="24">
        <v>0.0</v>
      </c>
      <c r="G130" s="24"/>
      <c r="H130" s="24"/>
      <c r="I130" s="24">
        <v>7645.75</v>
      </c>
      <c r="J130" s="26">
        <v>121.73999999999978</v>
      </c>
      <c r="K130" s="26"/>
      <c r="L130" s="26"/>
      <c r="M130" s="26"/>
      <c r="N130" s="26">
        <v>6.0</v>
      </c>
      <c r="O130" s="36">
        <f t="shared" si="1"/>
        <v>100</v>
      </c>
      <c r="P130" s="36">
        <f t="shared" si="18"/>
        <v>222</v>
      </c>
      <c r="Q130" s="37">
        <f t="shared" si="19"/>
        <v>7424</v>
      </c>
      <c r="R130" s="38">
        <f t="shared" si="4"/>
        <v>167808</v>
      </c>
      <c r="S130" s="39">
        <f t="shared" si="11"/>
        <v>0</v>
      </c>
      <c r="T130" s="30">
        <f t="shared" si="12"/>
        <v>1633</v>
      </c>
      <c r="U130" s="30">
        <f t="shared" si="13"/>
        <v>1839</v>
      </c>
      <c r="V130" s="30">
        <f t="shared" si="14"/>
        <v>745</v>
      </c>
      <c r="W130" s="30">
        <f t="shared" si="15"/>
        <v>40.5</v>
      </c>
      <c r="X130" s="31">
        <v>1200000.0</v>
      </c>
      <c r="Y130" s="30">
        <f t="shared" si="16"/>
        <v>1200000</v>
      </c>
      <c r="Z130" s="30">
        <f t="shared" si="17"/>
        <v>15</v>
      </c>
      <c r="AA130" s="30"/>
      <c r="AB130" s="30"/>
      <c r="AC130" s="30"/>
      <c r="AD130" s="30"/>
      <c r="AE130" s="30"/>
      <c r="AF130" s="30"/>
      <c r="AG130" s="30"/>
      <c r="AH130" s="30"/>
      <c r="AI130" s="30"/>
      <c r="AJ130" s="32"/>
      <c r="AK130" s="32"/>
      <c r="AL130" s="32"/>
    </row>
    <row r="131" ht="14.25" customHeight="1">
      <c r="A131" s="23">
        <v>130.0</v>
      </c>
      <c r="B131" s="24" t="s">
        <v>27</v>
      </c>
      <c r="C131" s="25" t="s">
        <v>140</v>
      </c>
      <c r="D131" s="24">
        <v>0.0</v>
      </c>
      <c r="E131" s="24"/>
      <c r="F131" s="24">
        <v>0.0</v>
      </c>
      <c r="G131" s="24"/>
      <c r="H131" s="24"/>
      <c r="I131" s="24">
        <v>16652.0</v>
      </c>
      <c r="J131" s="26">
        <v>168.91999999999825</v>
      </c>
      <c r="K131" s="26"/>
      <c r="L131" s="26"/>
      <c r="M131" s="26"/>
      <c r="N131" s="26">
        <v>6.0</v>
      </c>
      <c r="O131" s="36">
        <f t="shared" si="1"/>
        <v>100</v>
      </c>
      <c r="P131" s="36">
        <f t="shared" si="18"/>
        <v>269</v>
      </c>
      <c r="Q131" s="37">
        <f t="shared" si="19"/>
        <v>16383</v>
      </c>
      <c r="R131" s="38">
        <f t="shared" si="4"/>
        <v>184191</v>
      </c>
      <c r="S131" s="39">
        <f t="shared" si="11"/>
        <v>0</v>
      </c>
      <c r="T131" s="30">
        <f t="shared" si="12"/>
        <v>1924</v>
      </c>
      <c r="U131" s="30">
        <f t="shared" si="13"/>
        <v>1992</v>
      </c>
      <c r="V131" s="30">
        <f t="shared" si="14"/>
        <v>731</v>
      </c>
      <c r="W131" s="30">
        <f t="shared" si="15"/>
        <v>36.7</v>
      </c>
      <c r="X131" s="31">
        <v>1200000.0</v>
      </c>
      <c r="Y131" s="30">
        <f t="shared" si="16"/>
        <v>1200000</v>
      </c>
      <c r="Z131" s="30">
        <f t="shared" si="17"/>
        <v>17</v>
      </c>
      <c r="AA131" s="30"/>
      <c r="AB131" s="30"/>
      <c r="AC131" s="30"/>
      <c r="AD131" s="30"/>
      <c r="AE131" s="30"/>
      <c r="AF131" s="30"/>
      <c r="AG131" s="30"/>
      <c r="AH131" s="30"/>
      <c r="AI131" s="30"/>
      <c r="AJ131" s="32"/>
      <c r="AK131" s="32"/>
      <c r="AL131" s="32"/>
    </row>
    <row r="132" ht="14.25" customHeight="1">
      <c r="A132" s="23">
        <v>131.0</v>
      </c>
      <c r="B132" s="24" t="s">
        <v>29</v>
      </c>
      <c r="C132" s="25" t="s">
        <v>141</v>
      </c>
      <c r="D132" s="24">
        <v>0.0</v>
      </c>
      <c r="E132" s="24"/>
      <c r="F132" s="24">
        <v>0.0</v>
      </c>
      <c r="G132" s="24"/>
      <c r="H132" s="24"/>
      <c r="I132" s="24">
        <v>4097.5</v>
      </c>
      <c r="J132" s="26">
        <v>94.26000000000022</v>
      </c>
      <c r="K132" s="26"/>
      <c r="L132" s="26"/>
      <c r="M132" s="26"/>
      <c r="N132" s="26">
        <v>6.0</v>
      </c>
      <c r="O132" s="36">
        <f t="shared" si="1"/>
        <v>100</v>
      </c>
      <c r="P132" s="36">
        <f t="shared" si="18"/>
        <v>194</v>
      </c>
      <c r="Q132" s="37">
        <f t="shared" si="19"/>
        <v>3904</v>
      </c>
      <c r="R132" s="38">
        <f t="shared" si="4"/>
        <v>188095</v>
      </c>
      <c r="S132" s="39">
        <f t="shared" si="11"/>
        <v>0</v>
      </c>
      <c r="T132" s="30">
        <f t="shared" si="12"/>
        <v>1803</v>
      </c>
      <c r="U132" s="30">
        <f t="shared" si="13"/>
        <v>1983</v>
      </c>
      <c r="V132" s="30">
        <f t="shared" si="14"/>
        <v>729</v>
      </c>
      <c r="W132" s="30">
        <f t="shared" si="15"/>
        <v>36.8</v>
      </c>
      <c r="X132" s="31">
        <v>1200000.0</v>
      </c>
      <c r="Y132" s="30">
        <f t="shared" si="16"/>
        <v>1200000</v>
      </c>
      <c r="Z132" s="30">
        <f t="shared" si="17"/>
        <v>17</v>
      </c>
      <c r="AA132" s="30"/>
      <c r="AB132" s="30"/>
      <c r="AC132" s="30"/>
      <c r="AD132" s="30"/>
      <c r="AE132" s="30"/>
      <c r="AF132" s="30"/>
      <c r="AG132" s="30"/>
      <c r="AH132" s="30"/>
      <c r="AI132" s="30"/>
      <c r="AJ132" s="32"/>
      <c r="AK132" s="32"/>
      <c r="AL132" s="32"/>
    </row>
    <row r="133" ht="14.25" customHeight="1">
      <c r="A133" s="23">
        <v>132.0</v>
      </c>
      <c r="B133" s="24" t="s">
        <v>30</v>
      </c>
      <c r="C133" s="25" t="s">
        <v>142</v>
      </c>
      <c r="D133" s="24">
        <v>0.0</v>
      </c>
      <c r="E133" s="24"/>
      <c r="F133" s="24">
        <v>0.0</v>
      </c>
      <c r="G133" s="24"/>
      <c r="H133" s="24"/>
      <c r="I133" s="24">
        <v>2007.5</v>
      </c>
      <c r="J133" s="26">
        <v>267.6300000000001</v>
      </c>
      <c r="K133" s="26"/>
      <c r="L133" s="26"/>
      <c r="M133" s="26"/>
      <c r="N133" s="26">
        <v>6.0</v>
      </c>
      <c r="O133" s="36">
        <f t="shared" si="1"/>
        <v>100</v>
      </c>
      <c r="P133" s="36">
        <f t="shared" si="18"/>
        <v>368</v>
      </c>
      <c r="Q133" s="37">
        <f t="shared" si="19"/>
        <v>1640</v>
      </c>
      <c r="R133" s="38">
        <f t="shared" si="4"/>
        <v>189735</v>
      </c>
      <c r="S133" s="39">
        <f t="shared" si="11"/>
        <v>0</v>
      </c>
      <c r="T133" s="30">
        <f t="shared" si="12"/>
        <v>1938</v>
      </c>
      <c r="U133" s="30">
        <f t="shared" si="13"/>
        <v>2279</v>
      </c>
      <c r="V133" s="30">
        <f t="shared" si="14"/>
        <v>709</v>
      </c>
      <c r="W133" s="30">
        <f t="shared" si="15"/>
        <v>31.1</v>
      </c>
      <c r="X133" s="31">
        <v>1200000.0</v>
      </c>
      <c r="Y133" s="30">
        <f t="shared" si="16"/>
        <v>1200000</v>
      </c>
      <c r="Z133" s="30">
        <f t="shared" si="17"/>
        <v>19</v>
      </c>
      <c r="AA133" s="30"/>
      <c r="AB133" s="30"/>
      <c r="AC133" s="30"/>
      <c r="AD133" s="30"/>
      <c r="AE133" s="30"/>
      <c r="AF133" s="30"/>
      <c r="AG133" s="30"/>
      <c r="AH133" s="30"/>
      <c r="AI133" s="30"/>
      <c r="AJ133" s="32"/>
      <c r="AK133" s="32"/>
      <c r="AL133" s="32"/>
    </row>
    <row r="134" ht="14.25" customHeight="1">
      <c r="A134" s="23">
        <v>133.0</v>
      </c>
      <c r="B134" s="24" t="s">
        <v>26</v>
      </c>
      <c r="C134" s="25" t="s">
        <v>143</v>
      </c>
      <c r="D134" s="24">
        <v>0.0</v>
      </c>
      <c r="E134" s="24"/>
      <c r="F134" s="24">
        <v>0.0</v>
      </c>
      <c r="G134" s="24"/>
      <c r="H134" s="24"/>
      <c r="I134" s="24">
        <v>-2517.5</v>
      </c>
      <c r="J134" s="26">
        <v>221.65999999999985</v>
      </c>
      <c r="K134" s="26"/>
      <c r="L134" s="26"/>
      <c r="M134" s="26"/>
      <c r="N134" s="26">
        <v>6.0</v>
      </c>
      <c r="O134" s="36">
        <f t="shared" si="1"/>
        <v>100</v>
      </c>
      <c r="P134" s="36">
        <f t="shared" si="18"/>
        <v>322</v>
      </c>
      <c r="Q134" s="37">
        <f t="shared" si="19"/>
        <v>-2840</v>
      </c>
      <c r="R134" s="38">
        <f t="shared" si="4"/>
        <v>186895</v>
      </c>
      <c r="S134" s="39">
        <f t="shared" si="11"/>
        <v>-2840</v>
      </c>
      <c r="T134" s="30">
        <f t="shared" si="12"/>
        <v>1730</v>
      </c>
      <c r="U134" s="30">
        <f t="shared" si="13"/>
        <v>2156</v>
      </c>
      <c r="V134" s="30">
        <f t="shared" si="14"/>
        <v>709</v>
      </c>
      <c r="W134" s="30">
        <f t="shared" si="15"/>
        <v>32.9</v>
      </c>
      <c r="X134" s="31">
        <v>1200000.0</v>
      </c>
      <c r="Y134" s="30">
        <f t="shared" si="16"/>
        <v>1200000</v>
      </c>
      <c r="Z134" s="30">
        <f t="shared" si="17"/>
        <v>18</v>
      </c>
      <c r="AA134" s="30"/>
      <c r="AB134" s="30"/>
      <c r="AC134" s="30"/>
      <c r="AD134" s="30"/>
      <c r="AE134" s="30"/>
      <c r="AF134" s="30"/>
      <c r="AG134" s="30"/>
      <c r="AH134" s="30"/>
      <c r="AI134" s="30"/>
      <c r="AJ134" s="32"/>
      <c r="AK134" s="32"/>
      <c r="AL134" s="32"/>
    </row>
    <row r="135" ht="14.25" customHeight="1">
      <c r="A135" s="23">
        <v>134.0</v>
      </c>
      <c r="B135" s="24" t="s">
        <v>27</v>
      </c>
      <c r="C135" s="25" t="s">
        <v>144</v>
      </c>
      <c r="D135" s="24">
        <v>0.0</v>
      </c>
      <c r="E135" s="24"/>
      <c r="F135" s="24">
        <v>0.0</v>
      </c>
      <c r="G135" s="24"/>
      <c r="H135" s="24"/>
      <c r="I135" s="24">
        <v>-5091.25</v>
      </c>
      <c r="J135" s="26">
        <v>739.5500000000002</v>
      </c>
      <c r="K135" s="26"/>
      <c r="L135" s="26"/>
      <c r="M135" s="26"/>
      <c r="N135" s="26">
        <v>6.0</v>
      </c>
      <c r="O135" s="36">
        <f t="shared" si="1"/>
        <v>100</v>
      </c>
      <c r="P135" s="36">
        <f t="shared" si="18"/>
        <v>840</v>
      </c>
      <c r="Q135" s="37">
        <f t="shared" si="19"/>
        <v>-5931</v>
      </c>
      <c r="R135" s="38">
        <f t="shared" si="4"/>
        <v>180964</v>
      </c>
      <c r="S135" s="39">
        <f t="shared" si="11"/>
        <v>-8771</v>
      </c>
      <c r="T135" s="30">
        <f t="shared" si="12"/>
        <v>1743</v>
      </c>
      <c r="U135" s="30">
        <f t="shared" si="13"/>
        <v>2031</v>
      </c>
      <c r="V135" s="30">
        <f t="shared" si="14"/>
        <v>714</v>
      </c>
      <c r="W135" s="30">
        <f t="shared" si="15"/>
        <v>35.2</v>
      </c>
      <c r="X135" s="31">
        <v>1200000.0</v>
      </c>
      <c r="Y135" s="30">
        <f t="shared" si="16"/>
        <v>1200000</v>
      </c>
      <c r="Z135" s="30">
        <f t="shared" si="17"/>
        <v>17</v>
      </c>
      <c r="AA135" s="30"/>
      <c r="AB135" s="30"/>
      <c r="AC135" s="30"/>
      <c r="AD135" s="30"/>
      <c r="AE135" s="30"/>
      <c r="AF135" s="30"/>
      <c r="AG135" s="30"/>
      <c r="AH135" s="30"/>
      <c r="AI135" s="30"/>
      <c r="AJ135" s="32"/>
      <c r="AK135" s="32"/>
      <c r="AL135" s="32"/>
    </row>
    <row r="136" ht="14.25" customHeight="1">
      <c r="A136" s="23">
        <v>135.0</v>
      </c>
      <c r="B136" s="24" t="s">
        <v>28</v>
      </c>
      <c r="C136" s="25" t="s">
        <v>145</v>
      </c>
      <c r="D136" s="24">
        <v>0.0</v>
      </c>
      <c r="E136" s="24"/>
      <c r="F136" s="24">
        <v>0.0</v>
      </c>
      <c r="G136" s="24"/>
      <c r="H136" s="24"/>
      <c r="I136" s="24">
        <v>2831.0</v>
      </c>
      <c r="J136" s="26">
        <v>187.2800000000002</v>
      </c>
      <c r="K136" s="26"/>
      <c r="L136" s="26"/>
      <c r="M136" s="26"/>
      <c r="N136" s="26">
        <v>6.0</v>
      </c>
      <c r="O136" s="36">
        <f t="shared" si="1"/>
        <v>100</v>
      </c>
      <c r="P136" s="36">
        <f t="shared" si="18"/>
        <v>287</v>
      </c>
      <c r="Q136" s="37">
        <f t="shared" si="19"/>
        <v>2544</v>
      </c>
      <c r="R136" s="38">
        <f t="shared" si="4"/>
        <v>183508</v>
      </c>
      <c r="S136" s="39">
        <f t="shared" si="11"/>
        <v>-6227</v>
      </c>
      <c r="T136" s="30">
        <f t="shared" si="12"/>
        <v>1729</v>
      </c>
      <c r="U136" s="30">
        <f t="shared" si="13"/>
        <v>2038</v>
      </c>
      <c r="V136" s="30">
        <f t="shared" si="14"/>
        <v>709</v>
      </c>
      <c r="W136" s="30">
        <f t="shared" si="15"/>
        <v>34.8</v>
      </c>
      <c r="X136" s="31">
        <v>1200000.0</v>
      </c>
      <c r="Y136" s="30">
        <f t="shared" si="16"/>
        <v>1200000</v>
      </c>
      <c r="Z136" s="30">
        <f t="shared" si="17"/>
        <v>17</v>
      </c>
      <c r="AA136" s="30"/>
      <c r="AB136" s="30"/>
      <c r="AC136" s="30"/>
      <c r="AD136" s="30"/>
      <c r="AE136" s="30"/>
      <c r="AF136" s="30"/>
      <c r="AG136" s="30"/>
      <c r="AH136" s="30"/>
      <c r="AI136" s="30"/>
      <c r="AJ136" s="32"/>
      <c r="AK136" s="32"/>
      <c r="AL136" s="32"/>
    </row>
    <row r="137" ht="14.25" customHeight="1">
      <c r="A137" s="23">
        <v>136.0</v>
      </c>
      <c r="B137" s="24" t="s">
        <v>29</v>
      </c>
      <c r="C137" s="25" t="s">
        <v>146</v>
      </c>
      <c r="D137" s="24">
        <v>0.0</v>
      </c>
      <c r="E137" s="24"/>
      <c r="F137" s="24">
        <v>0.0</v>
      </c>
      <c r="G137" s="24"/>
      <c r="H137" s="24"/>
      <c r="I137" s="24">
        <v>6905.0</v>
      </c>
      <c r="J137" s="26">
        <v>281.71000000000004</v>
      </c>
      <c r="K137" s="26"/>
      <c r="L137" s="26"/>
      <c r="M137" s="26"/>
      <c r="N137" s="26">
        <v>6.0</v>
      </c>
      <c r="O137" s="36">
        <f t="shared" si="1"/>
        <v>100</v>
      </c>
      <c r="P137" s="36">
        <f t="shared" si="18"/>
        <v>382</v>
      </c>
      <c r="Q137" s="37">
        <f t="shared" si="19"/>
        <v>6523</v>
      </c>
      <c r="R137" s="38">
        <f t="shared" si="4"/>
        <v>190031</v>
      </c>
      <c r="S137" s="39">
        <f t="shared" si="11"/>
        <v>0</v>
      </c>
      <c r="T137" s="30">
        <f t="shared" si="12"/>
        <v>1945</v>
      </c>
      <c r="U137" s="30">
        <f t="shared" si="13"/>
        <v>2117</v>
      </c>
      <c r="V137" s="30">
        <f t="shared" si="14"/>
        <v>711</v>
      </c>
      <c r="W137" s="30">
        <f t="shared" si="15"/>
        <v>33.6</v>
      </c>
      <c r="X137" s="31">
        <v>1200000.0</v>
      </c>
      <c r="Y137" s="30">
        <f t="shared" si="16"/>
        <v>1200000</v>
      </c>
      <c r="Z137" s="30">
        <f t="shared" si="17"/>
        <v>18</v>
      </c>
      <c r="AA137" s="30"/>
      <c r="AB137" s="30"/>
      <c r="AC137" s="30"/>
      <c r="AD137" s="30"/>
      <c r="AE137" s="30"/>
      <c r="AF137" s="30"/>
      <c r="AG137" s="30"/>
      <c r="AH137" s="30"/>
      <c r="AI137" s="30"/>
      <c r="AJ137" s="32"/>
      <c r="AK137" s="32"/>
      <c r="AL137" s="32"/>
    </row>
    <row r="138" ht="14.25" customHeight="1">
      <c r="A138" s="23">
        <v>137.0</v>
      </c>
      <c r="B138" s="24" t="s">
        <v>30</v>
      </c>
      <c r="C138" s="25" t="s">
        <v>147</v>
      </c>
      <c r="D138" s="24">
        <v>0.0</v>
      </c>
      <c r="E138" s="24"/>
      <c r="F138" s="24">
        <v>0.0</v>
      </c>
      <c r="G138" s="24"/>
      <c r="H138" s="24"/>
      <c r="I138" s="24">
        <v>7525.0</v>
      </c>
      <c r="J138" s="26">
        <v>80.11999999999989</v>
      </c>
      <c r="K138" s="26"/>
      <c r="L138" s="26"/>
      <c r="M138" s="26"/>
      <c r="N138" s="26">
        <v>6.0</v>
      </c>
      <c r="O138" s="36">
        <f t="shared" si="1"/>
        <v>100</v>
      </c>
      <c r="P138" s="36">
        <f t="shared" si="18"/>
        <v>180</v>
      </c>
      <c r="Q138" s="37">
        <f t="shared" si="19"/>
        <v>7345</v>
      </c>
      <c r="R138" s="38">
        <f t="shared" si="4"/>
        <v>197376</v>
      </c>
      <c r="S138" s="39">
        <f t="shared" si="11"/>
        <v>0</v>
      </c>
      <c r="T138" s="30">
        <f t="shared" si="12"/>
        <v>2038</v>
      </c>
      <c r="U138" s="30">
        <f t="shared" si="13"/>
        <v>2400</v>
      </c>
      <c r="V138" s="30">
        <f t="shared" si="14"/>
        <v>702</v>
      </c>
      <c r="W138" s="30">
        <f t="shared" si="15"/>
        <v>29.3</v>
      </c>
      <c r="X138" s="31">
        <v>1200000.0</v>
      </c>
      <c r="Y138" s="30">
        <f t="shared" si="16"/>
        <v>1200000</v>
      </c>
      <c r="Z138" s="30">
        <f t="shared" si="17"/>
        <v>20</v>
      </c>
      <c r="AA138" s="30"/>
      <c r="AB138" s="30"/>
      <c r="AC138" s="30"/>
      <c r="AD138" s="30"/>
      <c r="AE138" s="30"/>
      <c r="AF138" s="30"/>
      <c r="AG138" s="30"/>
      <c r="AH138" s="30"/>
      <c r="AI138" s="30"/>
      <c r="AJ138" s="32"/>
      <c r="AK138" s="32"/>
      <c r="AL138" s="32"/>
    </row>
    <row r="139" ht="14.25" customHeight="1">
      <c r="A139" s="23">
        <v>138.0</v>
      </c>
      <c r="B139" s="24" t="s">
        <v>26</v>
      </c>
      <c r="C139" s="25" t="s">
        <v>148</v>
      </c>
      <c r="D139" s="24">
        <v>0.0</v>
      </c>
      <c r="E139" s="24"/>
      <c r="F139" s="24">
        <v>0.0</v>
      </c>
      <c r="G139" s="24"/>
      <c r="H139" s="24"/>
      <c r="I139" s="24">
        <v>-3285.0</v>
      </c>
      <c r="J139" s="26">
        <v>506.75</v>
      </c>
      <c r="K139" s="26"/>
      <c r="L139" s="26"/>
      <c r="M139" s="26"/>
      <c r="N139" s="26">
        <v>6.0</v>
      </c>
      <c r="O139" s="36">
        <f t="shared" si="1"/>
        <v>100</v>
      </c>
      <c r="P139" s="36">
        <f t="shared" si="18"/>
        <v>607</v>
      </c>
      <c r="Q139" s="37">
        <f t="shared" si="19"/>
        <v>-3892</v>
      </c>
      <c r="R139" s="38">
        <f t="shared" si="4"/>
        <v>193484</v>
      </c>
      <c r="S139" s="39">
        <f t="shared" si="11"/>
        <v>-3892</v>
      </c>
      <c r="T139" s="30">
        <f t="shared" si="12"/>
        <v>2887</v>
      </c>
      <c r="U139" s="30">
        <f t="shared" si="13"/>
        <v>2074</v>
      </c>
      <c r="V139" s="30">
        <f t="shared" si="14"/>
        <v>701</v>
      </c>
      <c r="W139" s="30">
        <f t="shared" si="15"/>
        <v>33.8</v>
      </c>
      <c r="X139" s="31">
        <v>1200000.0</v>
      </c>
      <c r="Y139" s="30">
        <f t="shared" si="16"/>
        <v>1200000</v>
      </c>
      <c r="Z139" s="30">
        <f t="shared" si="17"/>
        <v>17</v>
      </c>
      <c r="AA139" s="30"/>
      <c r="AB139" s="30"/>
      <c r="AC139" s="30"/>
      <c r="AD139" s="30"/>
      <c r="AE139" s="30"/>
      <c r="AF139" s="30"/>
      <c r="AG139" s="30"/>
      <c r="AH139" s="30"/>
      <c r="AI139" s="30"/>
      <c r="AJ139" s="32"/>
      <c r="AK139" s="32"/>
      <c r="AL139" s="32"/>
    </row>
    <row r="140" ht="14.25" customHeight="1">
      <c r="A140" s="23">
        <v>139.0</v>
      </c>
      <c r="B140" s="24" t="s">
        <v>27</v>
      </c>
      <c r="C140" s="25" t="s">
        <v>149</v>
      </c>
      <c r="D140" s="24">
        <v>0.0</v>
      </c>
      <c r="E140" s="24"/>
      <c r="F140" s="24">
        <v>0.0</v>
      </c>
      <c r="G140" s="24"/>
      <c r="H140" s="24"/>
      <c r="I140" s="24">
        <v>-18244.75</v>
      </c>
      <c r="J140" s="26">
        <v>1298.0499999999993</v>
      </c>
      <c r="K140" s="26"/>
      <c r="L140" s="26"/>
      <c r="M140" s="26"/>
      <c r="N140" s="26">
        <v>6.0</v>
      </c>
      <c r="O140" s="36">
        <f t="shared" si="1"/>
        <v>100</v>
      </c>
      <c r="P140" s="36">
        <f t="shared" si="18"/>
        <v>1398</v>
      </c>
      <c r="Q140" s="37">
        <f t="shared" si="19"/>
        <v>-19643</v>
      </c>
      <c r="R140" s="38">
        <f t="shared" si="4"/>
        <v>173841</v>
      </c>
      <c r="S140" s="39">
        <f t="shared" si="11"/>
        <v>-23535</v>
      </c>
      <c r="T140" s="30">
        <f t="shared" si="12"/>
        <v>2763</v>
      </c>
      <c r="U140" s="30">
        <f t="shared" si="13"/>
        <v>2037</v>
      </c>
      <c r="V140" s="30">
        <f t="shared" si="14"/>
        <v>704</v>
      </c>
      <c r="W140" s="30">
        <f t="shared" si="15"/>
        <v>34.6</v>
      </c>
      <c r="X140" s="31">
        <v>1200000.0</v>
      </c>
      <c r="Y140" s="30">
        <f t="shared" si="16"/>
        <v>1200000</v>
      </c>
      <c r="Z140" s="30">
        <f t="shared" si="17"/>
        <v>17</v>
      </c>
      <c r="AA140" s="30"/>
      <c r="AB140" s="30"/>
      <c r="AC140" s="30"/>
      <c r="AD140" s="30"/>
      <c r="AE140" s="30"/>
      <c r="AF140" s="30"/>
      <c r="AG140" s="30"/>
      <c r="AH140" s="30"/>
      <c r="AI140" s="30"/>
      <c r="AJ140" s="32"/>
      <c r="AK140" s="32"/>
      <c r="AL140" s="32"/>
    </row>
    <row r="141" ht="14.25" customHeight="1">
      <c r="A141" s="23">
        <v>140.0</v>
      </c>
      <c r="B141" s="24" t="s">
        <v>28</v>
      </c>
      <c r="C141" s="25" t="s">
        <v>150</v>
      </c>
      <c r="D141" s="24">
        <v>0.0</v>
      </c>
      <c r="E141" s="24"/>
      <c r="F141" s="24">
        <v>0.0</v>
      </c>
      <c r="G141" s="24"/>
      <c r="H141" s="24"/>
      <c r="I141" s="24">
        <v>2040.25</v>
      </c>
      <c r="J141" s="26">
        <v>313.5999999999999</v>
      </c>
      <c r="K141" s="26"/>
      <c r="L141" s="26"/>
      <c r="M141" s="26"/>
      <c r="N141" s="26">
        <v>6.0</v>
      </c>
      <c r="O141" s="36">
        <f t="shared" si="1"/>
        <v>100</v>
      </c>
      <c r="P141" s="36">
        <f t="shared" si="18"/>
        <v>414</v>
      </c>
      <c r="Q141" s="37">
        <f t="shared" si="19"/>
        <v>1626</v>
      </c>
      <c r="R141" s="38">
        <f t="shared" si="4"/>
        <v>175467</v>
      </c>
      <c r="S141" s="39">
        <f t="shared" si="11"/>
        <v>-21909</v>
      </c>
      <c r="T141" s="30">
        <f t="shared" si="12"/>
        <v>3002</v>
      </c>
      <c r="U141" s="30">
        <f t="shared" si="13"/>
        <v>2121</v>
      </c>
      <c r="V141" s="30">
        <f t="shared" si="14"/>
        <v>701</v>
      </c>
      <c r="W141" s="30">
        <f t="shared" si="15"/>
        <v>33.1</v>
      </c>
      <c r="X141" s="31">
        <v>1200000.0</v>
      </c>
      <c r="Y141" s="30">
        <f t="shared" si="16"/>
        <v>1200000</v>
      </c>
      <c r="Z141" s="30">
        <f t="shared" si="17"/>
        <v>18</v>
      </c>
      <c r="AA141" s="30"/>
      <c r="AB141" s="30"/>
      <c r="AC141" s="30"/>
      <c r="AD141" s="30"/>
      <c r="AE141" s="30"/>
      <c r="AF141" s="30"/>
      <c r="AG141" s="30"/>
      <c r="AH141" s="30"/>
      <c r="AI141" s="30"/>
      <c r="AJ141" s="32"/>
      <c r="AK141" s="32"/>
      <c r="AL141" s="32"/>
    </row>
    <row r="142" ht="14.25" customHeight="1">
      <c r="A142" s="23">
        <v>141.0</v>
      </c>
      <c r="B142" s="24" t="s">
        <v>29</v>
      </c>
      <c r="C142" s="25" t="s">
        <v>151</v>
      </c>
      <c r="D142" s="24">
        <v>0.0</v>
      </c>
      <c r="E142" s="24"/>
      <c r="F142" s="24">
        <v>0.0</v>
      </c>
      <c r="G142" s="24"/>
      <c r="H142" s="24"/>
      <c r="I142" s="24">
        <v>-10700.0</v>
      </c>
      <c r="J142" s="26">
        <v>1288.2299999999996</v>
      </c>
      <c r="K142" s="26"/>
      <c r="L142" s="26"/>
      <c r="M142" s="26"/>
      <c r="N142" s="26">
        <v>6.0</v>
      </c>
      <c r="O142" s="36">
        <f t="shared" si="1"/>
        <v>100</v>
      </c>
      <c r="P142" s="36">
        <f t="shared" si="18"/>
        <v>1388</v>
      </c>
      <c r="Q142" s="37">
        <f t="shared" si="19"/>
        <v>-12088</v>
      </c>
      <c r="R142" s="38">
        <f t="shared" si="4"/>
        <v>163379</v>
      </c>
      <c r="S142" s="39">
        <f t="shared" si="11"/>
        <v>-33997</v>
      </c>
      <c r="T142" s="30">
        <f t="shared" si="12"/>
        <v>2460</v>
      </c>
      <c r="U142" s="30">
        <f t="shared" si="13"/>
        <v>1958</v>
      </c>
      <c r="V142" s="30">
        <f t="shared" si="14"/>
        <v>696</v>
      </c>
      <c r="W142" s="30">
        <f t="shared" si="15"/>
        <v>35.5</v>
      </c>
      <c r="X142" s="31">
        <v>1200000.0</v>
      </c>
      <c r="Y142" s="30">
        <f t="shared" si="16"/>
        <v>1200000</v>
      </c>
      <c r="Z142" s="30">
        <f t="shared" si="17"/>
        <v>16</v>
      </c>
      <c r="AA142" s="30"/>
      <c r="AB142" s="30"/>
      <c r="AC142" s="30"/>
      <c r="AD142" s="30"/>
      <c r="AE142" s="30"/>
      <c r="AF142" s="30"/>
      <c r="AG142" s="30"/>
      <c r="AH142" s="30"/>
      <c r="AI142" s="30"/>
      <c r="AJ142" s="32"/>
      <c r="AK142" s="32"/>
      <c r="AL142" s="32"/>
    </row>
    <row r="143" ht="14.25" customHeight="1">
      <c r="A143" s="23">
        <v>142.0</v>
      </c>
      <c r="B143" s="24" t="s">
        <v>30</v>
      </c>
      <c r="C143" s="25" t="s">
        <v>152</v>
      </c>
      <c r="D143" s="24">
        <v>0.0</v>
      </c>
      <c r="E143" s="24"/>
      <c r="F143" s="24">
        <v>0.0</v>
      </c>
      <c r="G143" s="24"/>
      <c r="H143" s="24"/>
      <c r="I143" s="24">
        <v>-2248.75</v>
      </c>
      <c r="J143" s="26">
        <v>552.4000000000001</v>
      </c>
      <c r="K143" s="26"/>
      <c r="L143" s="26"/>
      <c r="M143" s="26"/>
      <c r="N143" s="26">
        <v>6.0</v>
      </c>
      <c r="O143" s="36">
        <f t="shared" si="1"/>
        <v>100</v>
      </c>
      <c r="P143" s="36">
        <f t="shared" si="18"/>
        <v>652</v>
      </c>
      <c r="Q143" s="37">
        <f t="shared" si="19"/>
        <v>-2901</v>
      </c>
      <c r="R143" s="38">
        <f t="shared" si="4"/>
        <v>160478</v>
      </c>
      <c r="S143" s="39">
        <f t="shared" si="11"/>
        <v>-36898</v>
      </c>
      <c r="T143" s="30">
        <f t="shared" si="12"/>
        <v>2267</v>
      </c>
      <c r="U143" s="30">
        <f t="shared" si="13"/>
        <v>1272</v>
      </c>
      <c r="V143" s="30">
        <f t="shared" si="14"/>
        <v>697</v>
      </c>
      <c r="W143" s="30">
        <f t="shared" si="15"/>
        <v>54.8</v>
      </c>
      <c r="X143" s="31">
        <v>1200000.0</v>
      </c>
      <c r="Y143" s="30">
        <f t="shared" si="16"/>
        <v>1200000</v>
      </c>
      <c r="Z143" s="30">
        <f t="shared" si="17"/>
        <v>11</v>
      </c>
      <c r="AA143" s="30"/>
      <c r="AB143" s="30"/>
      <c r="AC143" s="30"/>
      <c r="AD143" s="30"/>
      <c r="AE143" s="30"/>
      <c r="AF143" s="30"/>
      <c r="AG143" s="30"/>
      <c r="AH143" s="30"/>
      <c r="AI143" s="30"/>
      <c r="AJ143" s="32"/>
      <c r="AK143" s="32"/>
      <c r="AL143" s="32"/>
    </row>
    <row r="144" ht="14.25" customHeight="1">
      <c r="A144" s="23">
        <v>143.0</v>
      </c>
      <c r="B144" s="24" t="s">
        <v>26</v>
      </c>
      <c r="C144" s="25" t="s">
        <v>153</v>
      </c>
      <c r="D144" s="24">
        <v>0.0</v>
      </c>
      <c r="E144" s="24"/>
      <c r="F144" s="24">
        <v>0.0</v>
      </c>
      <c r="G144" s="24"/>
      <c r="H144" s="24"/>
      <c r="I144" s="24">
        <v>398.75</v>
      </c>
      <c r="J144" s="26">
        <v>186.86</v>
      </c>
      <c r="K144" s="26"/>
      <c r="L144" s="26"/>
      <c r="M144" s="26"/>
      <c r="N144" s="26">
        <v>6.0</v>
      </c>
      <c r="O144" s="36">
        <f t="shared" si="1"/>
        <v>100</v>
      </c>
      <c r="P144" s="36">
        <f t="shared" si="18"/>
        <v>287</v>
      </c>
      <c r="Q144" s="37">
        <f t="shared" si="19"/>
        <v>112</v>
      </c>
      <c r="R144" s="38">
        <f t="shared" si="4"/>
        <v>160590</v>
      </c>
      <c r="S144" s="39">
        <f t="shared" si="11"/>
        <v>-36786</v>
      </c>
      <c r="T144" s="30">
        <f t="shared" si="12"/>
        <v>2241</v>
      </c>
      <c r="U144" s="30">
        <f t="shared" si="13"/>
        <v>1355</v>
      </c>
      <c r="V144" s="30">
        <f t="shared" si="14"/>
        <v>699</v>
      </c>
      <c r="W144" s="30">
        <f t="shared" si="15"/>
        <v>51.6</v>
      </c>
      <c r="X144" s="31">
        <v>1200000.0</v>
      </c>
      <c r="Y144" s="30">
        <f t="shared" si="16"/>
        <v>1200000</v>
      </c>
      <c r="Z144" s="30">
        <f t="shared" si="17"/>
        <v>11</v>
      </c>
      <c r="AA144" s="30"/>
      <c r="AB144" s="30"/>
      <c r="AC144" s="30"/>
      <c r="AD144" s="30"/>
      <c r="AE144" s="30"/>
      <c r="AF144" s="30"/>
      <c r="AG144" s="30"/>
      <c r="AH144" s="30"/>
      <c r="AI144" s="30"/>
      <c r="AJ144" s="32"/>
      <c r="AK144" s="32"/>
      <c r="AL144" s="32"/>
    </row>
    <row r="145" ht="14.25" customHeight="1">
      <c r="A145" s="23">
        <v>144.0</v>
      </c>
      <c r="B145" s="24" t="s">
        <v>28</v>
      </c>
      <c r="C145" s="25" t="s">
        <v>154</v>
      </c>
      <c r="D145" s="24">
        <v>0.0</v>
      </c>
      <c r="E145" s="24"/>
      <c r="F145" s="24">
        <v>0.0</v>
      </c>
      <c r="G145" s="24"/>
      <c r="H145" s="24"/>
      <c r="I145" s="24">
        <v>5118.0</v>
      </c>
      <c r="J145" s="26">
        <v>174.84000000000015</v>
      </c>
      <c r="K145" s="26"/>
      <c r="L145" s="26"/>
      <c r="M145" s="26"/>
      <c r="N145" s="26">
        <v>6.0</v>
      </c>
      <c r="O145" s="36">
        <f t="shared" si="1"/>
        <v>100</v>
      </c>
      <c r="P145" s="36">
        <f t="shared" si="18"/>
        <v>275</v>
      </c>
      <c r="Q145" s="37">
        <f t="shared" si="19"/>
        <v>4843</v>
      </c>
      <c r="R145" s="38">
        <f t="shared" si="4"/>
        <v>165433</v>
      </c>
      <c r="S145" s="39">
        <f t="shared" si="11"/>
        <v>-31943</v>
      </c>
      <c r="T145" s="30">
        <f t="shared" si="12"/>
        <v>2314</v>
      </c>
      <c r="U145" s="30">
        <f t="shared" si="13"/>
        <v>1485</v>
      </c>
      <c r="V145" s="30">
        <f t="shared" si="14"/>
        <v>701</v>
      </c>
      <c r="W145" s="30">
        <f t="shared" si="15"/>
        <v>47.2</v>
      </c>
      <c r="X145" s="31">
        <v>1200000.0</v>
      </c>
      <c r="Y145" s="30">
        <f t="shared" si="16"/>
        <v>1200000</v>
      </c>
      <c r="Z145" s="30">
        <f t="shared" si="17"/>
        <v>12</v>
      </c>
      <c r="AA145" s="30"/>
      <c r="AB145" s="30"/>
      <c r="AC145" s="30"/>
      <c r="AD145" s="30"/>
      <c r="AE145" s="30"/>
      <c r="AF145" s="30"/>
      <c r="AG145" s="30"/>
      <c r="AH145" s="30"/>
      <c r="AI145" s="30"/>
      <c r="AJ145" s="32"/>
      <c r="AK145" s="32"/>
      <c r="AL145" s="32"/>
    </row>
    <row r="146" ht="14.25" customHeight="1">
      <c r="A146" s="23">
        <v>145.0</v>
      </c>
      <c r="B146" s="24" t="s">
        <v>29</v>
      </c>
      <c r="C146" s="25" t="s">
        <v>155</v>
      </c>
      <c r="D146" s="24">
        <v>0.0</v>
      </c>
      <c r="E146" s="24"/>
      <c r="F146" s="24">
        <v>0.0</v>
      </c>
      <c r="G146" s="24"/>
      <c r="H146" s="24"/>
      <c r="I146" s="24">
        <v>-908.0</v>
      </c>
      <c r="J146" s="26">
        <v>1067.09</v>
      </c>
      <c r="K146" s="26"/>
      <c r="L146" s="26"/>
      <c r="M146" s="26"/>
      <c r="N146" s="26">
        <v>6.0</v>
      </c>
      <c r="O146" s="36">
        <f t="shared" si="1"/>
        <v>100</v>
      </c>
      <c r="P146" s="36">
        <f t="shared" si="18"/>
        <v>1167</v>
      </c>
      <c r="Q146" s="37">
        <f t="shared" si="19"/>
        <v>-2075</v>
      </c>
      <c r="R146" s="38">
        <f t="shared" si="4"/>
        <v>163358</v>
      </c>
      <c r="S146" s="39">
        <f t="shared" si="11"/>
        <v>-34018</v>
      </c>
      <c r="T146" s="30">
        <f t="shared" si="12"/>
        <v>2351</v>
      </c>
      <c r="U146" s="30">
        <f t="shared" si="13"/>
        <v>1396</v>
      </c>
      <c r="V146" s="30">
        <f t="shared" si="14"/>
        <v>704</v>
      </c>
      <c r="W146" s="30">
        <f t="shared" si="15"/>
        <v>50.4</v>
      </c>
      <c r="X146" s="31">
        <v>1200000.0</v>
      </c>
      <c r="Y146" s="30">
        <f t="shared" si="16"/>
        <v>1200000</v>
      </c>
      <c r="Z146" s="30">
        <f t="shared" si="17"/>
        <v>12</v>
      </c>
      <c r="AA146" s="30"/>
      <c r="AB146" s="30"/>
      <c r="AC146" s="30"/>
      <c r="AD146" s="30"/>
      <c r="AE146" s="30"/>
      <c r="AF146" s="30"/>
      <c r="AG146" s="30"/>
      <c r="AH146" s="30"/>
      <c r="AI146" s="30"/>
      <c r="AJ146" s="32"/>
      <c r="AK146" s="32"/>
      <c r="AL146" s="32"/>
    </row>
    <row r="147" ht="14.25" customHeight="1">
      <c r="A147" s="23">
        <v>146.0</v>
      </c>
      <c r="B147" s="24" t="s">
        <v>30</v>
      </c>
      <c r="C147" s="25" t="s">
        <v>156</v>
      </c>
      <c r="D147" s="24">
        <v>0.0</v>
      </c>
      <c r="E147" s="24"/>
      <c r="F147" s="24">
        <v>0.0</v>
      </c>
      <c r="G147" s="24"/>
      <c r="H147" s="24"/>
      <c r="I147" s="24">
        <v>7768.5</v>
      </c>
      <c r="J147" s="26">
        <v>574.7299999999996</v>
      </c>
      <c r="K147" s="26"/>
      <c r="L147" s="26"/>
      <c r="M147" s="26"/>
      <c r="N147" s="26">
        <v>6.0</v>
      </c>
      <c r="O147" s="36">
        <f t="shared" si="1"/>
        <v>100</v>
      </c>
      <c r="P147" s="36">
        <f t="shared" si="18"/>
        <v>675</v>
      </c>
      <c r="Q147" s="37">
        <f t="shared" si="19"/>
        <v>7094</v>
      </c>
      <c r="R147" s="38">
        <f t="shared" si="4"/>
        <v>170452</v>
      </c>
      <c r="S147" s="39">
        <f t="shared" si="11"/>
        <v>-26924</v>
      </c>
      <c r="T147" s="30">
        <f t="shared" si="12"/>
        <v>2603</v>
      </c>
      <c r="U147" s="30">
        <f t="shared" si="13"/>
        <v>1420</v>
      </c>
      <c r="V147" s="30">
        <f t="shared" si="14"/>
        <v>698</v>
      </c>
      <c r="W147" s="30">
        <f t="shared" si="15"/>
        <v>49.2</v>
      </c>
      <c r="X147" s="31">
        <v>1200000.0</v>
      </c>
      <c r="Y147" s="30">
        <f t="shared" si="16"/>
        <v>1200000</v>
      </c>
      <c r="Z147" s="30">
        <f t="shared" si="17"/>
        <v>12</v>
      </c>
      <c r="AA147" s="30"/>
      <c r="AB147" s="30"/>
      <c r="AC147" s="30"/>
      <c r="AD147" s="30"/>
      <c r="AE147" s="30"/>
      <c r="AF147" s="30"/>
      <c r="AG147" s="30"/>
      <c r="AH147" s="30"/>
      <c r="AI147" s="30"/>
      <c r="AJ147" s="32"/>
      <c r="AK147" s="32"/>
      <c r="AL147" s="32"/>
    </row>
    <row r="148" ht="14.25" customHeight="1">
      <c r="A148" s="23">
        <v>147.0</v>
      </c>
      <c r="B148" s="24" t="s">
        <v>26</v>
      </c>
      <c r="C148" s="25" t="s">
        <v>157</v>
      </c>
      <c r="D148" s="24">
        <v>0.0</v>
      </c>
      <c r="E148" s="24"/>
      <c r="F148" s="24">
        <v>0.0</v>
      </c>
      <c r="G148" s="24"/>
      <c r="H148" s="24"/>
      <c r="I148" s="24">
        <v>7673.5</v>
      </c>
      <c r="J148" s="26">
        <v>370.27000000000044</v>
      </c>
      <c r="K148" s="26"/>
      <c r="L148" s="26"/>
      <c r="M148" s="26"/>
      <c r="N148" s="26">
        <v>6.0</v>
      </c>
      <c r="O148" s="36">
        <f t="shared" si="1"/>
        <v>100</v>
      </c>
      <c r="P148" s="36">
        <f t="shared" si="18"/>
        <v>470</v>
      </c>
      <c r="Q148" s="37">
        <f t="shared" si="19"/>
        <v>7204</v>
      </c>
      <c r="R148" s="38">
        <f t="shared" si="4"/>
        <v>177656</v>
      </c>
      <c r="S148" s="39">
        <f t="shared" si="11"/>
        <v>-19720</v>
      </c>
      <c r="T148" s="30">
        <f t="shared" si="12"/>
        <v>2634</v>
      </c>
      <c r="U148" s="30">
        <f t="shared" si="13"/>
        <v>1480</v>
      </c>
      <c r="V148" s="30">
        <f t="shared" si="14"/>
        <v>697</v>
      </c>
      <c r="W148" s="30">
        <f t="shared" si="15"/>
        <v>47.1</v>
      </c>
      <c r="X148" s="31">
        <v>1200000.0</v>
      </c>
      <c r="Y148" s="30">
        <f t="shared" si="16"/>
        <v>1200000</v>
      </c>
      <c r="Z148" s="30">
        <f t="shared" si="17"/>
        <v>12</v>
      </c>
      <c r="AA148" s="30"/>
      <c r="AB148" s="30"/>
      <c r="AC148" s="30"/>
      <c r="AD148" s="30"/>
      <c r="AE148" s="30"/>
      <c r="AF148" s="30"/>
      <c r="AG148" s="30"/>
      <c r="AH148" s="30"/>
      <c r="AI148" s="30"/>
      <c r="AJ148" s="32"/>
      <c r="AK148" s="32"/>
      <c r="AL148" s="32"/>
    </row>
    <row r="149" ht="14.25" customHeight="1">
      <c r="A149" s="23">
        <v>148.0</v>
      </c>
      <c r="B149" s="24" t="s">
        <v>27</v>
      </c>
      <c r="C149" s="25" t="s">
        <v>158</v>
      </c>
      <c r="D149" s="24">
        <v>0.0</v>
      </c>
      <c r="E149" s="24"/>
      <c r="F149" s="24">
        <v>0.0</v>
      </c>
      <c r="G149" s="24"/>
      <c r="H149" s="24"/>
      <c r="I149" s="24">
        <v>1883.75</v>
      </c>
      <c r="J149" s="26">
        <v>75.72000000000003</v>
      </c>
      <c r="K149" s="26"/>
      <c r="L149" s="26"/>
      <c r="M149" s="26"/>
      <c r="N149" s="26">
        <v>6.0</v>
      </c>
      <c r="O149" s="36">
        <f t="shared" si="1"/>
        <v>100</v>
      </c>
      <c r="P149" s="36">
        <f t="shared" si="18"/>
        <v>176</v>
      </c>
      <c r="Q149" s="37">
        <f t="shared" si="19"/>
        <v>1708</v>
      </c>
      <c r="R149" s="38">
        <f t="shared" si="4"/>
        <v>179364</v>
      </c>
      <c r="S149" s="39">
        <f t="shared" si="11"/>
        <v>-18012</v>
      </c>
      <c r="T149" s="30">
        <f t="shared" si="12"/>
        <v>2151</v>
      </c>
      <c r="U149" s="30">
        <f t="shared" si="13"/>
        <v>1492</v>
      </c>
      <c r="V149" s="30">
        <f t="shared" si="14"/>
        <v>686</v>
      </c>
      <c r="W149" s="30">
        <f t="shared" si="15"/>
        <v>46</v>
      </c>
      <c r="X149" s="31">
        <v>1200000.0</v>
      </c>
      <c r="Y149" s="30">
        <f t="shared" si="16"/>
        <v>1200000</v>
      </c>
      <c r="Z149" s="30">
        <f t="shared" si="17"/>
        <v>12</v>
      </c>
      <c r="AA149" s="30"/>
      <c r="AB149" s="30"/>
      <c r="AC149" s="30"/>
      <c r="AD149" s="30"/>
      <c r="AE149" s="30"/>
      <c r="AF149" s="30"/>
      <c r="AG149" s="30"/>
      <c r="AH149" s="30"/>
      <c r="AI149" s="30"/>
      <c r="AJ149" s="32"/>
      <c r="AK149" s="32"/>
      <c r="AL149" s="32"/>
    </row>
    <row r="150" ht="14.25" customHeight="1">
      <c r="A150" s="23">
        <v>149.0</v>
      </c>
      <c r="B150" s="24" t="s">
        <v>28</v>
      </c>
      <c r="C150" s="25" t="s">
        <v>159</v>
      </c>
      <c r="D150" s="24">
        <v>0.0</v>
      </c>
      <c r="E150" s="24"/>
      <c r="F150" s="24">
        <v>0.0</v>
      </c>
      <c r="G150" s="24"/>
      <c r="H150" s="24"/>
      <c r="I150" s="24">
        <v>1013.25</v>
      </c>
      <c r="J150" s="26">
        <v>172.59000000000003</v>
      </c>
      <c r="K150" s="26"/>
      <c r="L150" s="26"/>
      <c r="M150" s="26"/>
      <c r="N150" s="26">
        <v>6.0</v>
      </c>
      <c r="O150" s="36">
        <f t="shared" si="1"/>
        <v>100</v>
      </c>
      <c r="P150" s="36">
        <f t="shared" si="18"/>
        <v>273</v>
      </c>
      <c r="Q150" s="37">
        <f t="shared" si="19"/>
        <v>740</v>
      </c>
      <c r="R150" s="38">
        <f t="shared" si="4"/>
        <v>180104</v>
      </c>
      <c r="S150" s="39">
        <f t="shared" si="11"/>
        <v>-17272</v>
      </c>
      <c r="T150" s="30">
        <f t="shared" si="12"/>
        <v>2001</v>
      </c>
      <c r="U150" s="30">
        <f t="shared" si="13"/>
        <v>1478</v>
      </c>
      <c r="V150" s="30">
        <f t="shared" si="14"/>
        <v>684</v>
      </c>
      <c r="W150" s="30">
        <f t="shared" si="15"/>
        <v>46.3</v>
      </c>
      <c r="X150" s="31">
        <v>1200000.0</v>
      </c>
      <c r="Y150" s="30">
        <f t="shared" si="16"/>
        <v>1200000</v>
      </c>
      <c r="Z150" s="30">
        <f t="shared" si="17"/>
        <v>12</v>
      </c>
      <c r="AA150" s="30"/>
      <c r="AB150" s="30"/>
      <c r="AC150" s="30"/>
      <c r="AD150" s="30"/>
      <c r="AE150" s="30"/>
      <c r="AF150" s="30"/>
      <c r="AG150" s="30"/>
      <c r="AH150" s="30"/>
      <c r="AI150" s="30"/>
      <c r="AJ150" s="32"/>
      <c r="AK150" s="32"/>
      <c r="AL150" s="32"/>
    </row>
    <row r="151" ht="14.25" customHeight="1">
      <c r="A151" s="23">
        <v>150.0</v>
      </c>
      <c r="B151" s="24" t="s">
        <v>29</v>
      </c>
      <c r="C151" s="25" t="s">
        <v>160</v>
      </c>
      <c r="D151" s="24">
        <v>0.0</v>
      </c>
      <c r="E151" s="24"/>
      <c r="F151" s="24">
        <v>0.0</v>
      </c>
      <c r="G151" s="24"/>
      <c r="H151" s="24"/>
      <c r="I151" s="24">
        <v>652.5</v>
      </c>
      <c r="J151" s="26">
        <v>173.76999999999998</v>
      </c>
      <c r="K151" s="26"/>
      <c r="L151" s="26"/>
      <c r="M151" s="26"/>
      <c r="N151" s="26">
        <v>6.0</v>
      </c>
      <c r="O151" s="36">
        <f t="shared" si="1"/>
        <v>100</v>
      </c>
      <c r="P151" s="36">
        <f t="shared" si="18"/>
        <v>274</v>
      </c>
      <c r="Q151" s="37">
        <f t="shared" si="19"/>
        <v>379</v>
      </c>
      <c r="R151" s="38">
        <f t="shared" si="4"/>
        <v>180483</v>
      </c>
      <c r="S151" s="39">
        <f t="shared" si="11"/>
        <v>-16893</v>
      </c>
      <c r="T151" s="30">
        <f t="shared" si="12"/>
        <v>1909</v>
      </c>
      <c r="U151" s="30">
        <f t="shared" si="13"/>
        <v>1398</v>
      </c>
      <c r="V151" s="30">
        <f t="shared" si="14"/>
        <v>684</v>
      </c>
      <c r="W151" s="30">
        <f t="shared" si="15"/>
        <v>48.9</v>
      </c>
      <c r="X151" s="31">
        <v>1200000.0</v>
      </c>
      <c r="Y151" s="30">
        <f t="shared" si="16"/>
        <v>1200000</v>
      </c>
      <c r="Z151" s="30">
        <f t="shared" si="17"/>
        <v>12</v>
      </c>
      <c r="AA151" s="30"/>
      <c r="AB151" s="30"/>
      <c r="AC151" s="30"/>
      <c r="AD151" s="30"/>
      <c r="AE151" s="30"/>
      <c r="AF151" s="30"/>
      <c r="AG151" s="30"/>
      <c r="AH151" s="30"/>
      <c r="AI151" s="30"/>
      <c r="AJ151" s="32"/>
      <c r="AK151" s="32"/>
      <c r="AL151" s="32"/>
    </row>
    <row r="152" ht="14.25" customHeight="1">
      <c r="A152" s="23">
        <v>151.0</v>
      </c>
      <c r="B152" s="24" t="s">
        <v>30</v>
      </c>
      <c r="C152" s="25" t="s">
        <v>161</v>
      </c>
      <c r="D152" s="24">
        <v>0.0</v>
      </c>
      <c r="E152" s="24"/>
      <c r="F152" s="24">
        <v>0.0</v>
      </c>
      <c r="G152" s="24"/>
      <c r="H152" s="24"/>
      <c r="I152" s="24">
        <v>10303.75</v>
      </c>
      <c r="J152" s="26">
        <v>98.90999999999985</v>
      </c>
      <c r="K152" s="26"/>
      <c r="L152" s="26"/>
      <c r="M152" s="26"/>
      <c r="N152" s="26">
        <v>6.0</v>
      </c>
      <c r="O152" s="36">
        <f t="shared" si="1"/>
        <v>100</v>
      </c>
      <c r="P152" s="36">
        <f t="shared" si="18"/>
        <v>199</v>
      </c>
      <c r="Q152" s="37">
        <f t="shared" si="19"/>
        <v>10105</v>
      </c>
      <c r="R152" s="38">
        <f t="shared" si="4"/>
        <v>190588</v>
      </c>
      <c r="S152" s="39">
        <f t="shared" si="11"/>
        <v>-6788</v>
      </c>
      <c r="T152" s="30">
        <f t="shared" si="12"/>
        <v>2278</v>
      </c>
      <c r="U152" s="30">
        <f t="shared" si="13"/>
        <v>1304</v>
      </c>
      <c r="V152" s="30">
        <f t="shared" si="14"/>
        <v>680</v>
      </c>
      <c r="W152" s="30">
        <f t="shared" si="15"/>
        <v>52.1</v>
      </c>
      <c r="X152" s="31">
        <v>1200000.0</v>
      </c>
      <c r="Y152" s="30">
        <f t="shared" si="16"/>
        <v>1200000</v>
      </c>
      <c r="Z152" s="30">
        <f t="shared" si="17"/>
        <v>11</v>
      </c>
      <c r="AA152" s="30"/>
      <c r="AB152" s="30"/>
      <c r="AC152" s="30"/>
      <c r="AD152" s="30"/>
      <c r="AE152" s="30"/>
      <c r="AF152" s="30"/>
      <c r="AG152" s="30"/>
      <c r="AH152" s="30"/>
      <c r="AI152" s="30"/>
      <c r="AJ152" s="32"/>
      <c r="AK152" s="32"/>
      <c r="AL152" s="32"/>
    </row>
    <row r="153" ht="14.25" customHeight="1">
      <c r="A153" s="23">
        <v>152.0</v>
      </c>
      <c r="B153" s="24" t="s">
        <v>26</v>
      </c>
      <c r="C153" s="25" t="s">
        <v>162</v>
      </c>
      <c r="D153" s="24">
        <v>0.0</v>
      </c>
      <c r="E153" s="24"/>
      <c r="F153" s="24">
        <v>0.0</v>
      </c>
      <c r="G153" s="24"/>
      <c r="H153" s="24"/>
      <c r="I153" s="24">
        <v>12642.5</v>
      </c>
      <c r="J153" s="26">
        <v>102.13999999999942</v>
      </c>
      <c r="K153" s="26"/>
      <c r="L153" s="26"/>
      <c r="M153" s="26"/>
      <c r="N153" s="26">
        <v>6.0</v>
      </c>
      <c r="O153" s="36">
        <f t="shared" si="1"/>
        <v>100</v>
      </c>
      <c r="P153" s="36">
        <f t="shared" si="18"/>
        <v>202</v>
      </c>
      <c r="Q153" s="37">
        <f t="shared" si="19"/>
        <v>12441</v>
      </c>
      <c r="R153" s="38">
        <f t="shared" si="4"/>
        <v>203029</v>
      </c>
      <c r="S153" s="39">
        <f t="shared" si="11"/>
        <v>0</v>
      </c>
      <c r="T153" s="30">
        <f t="shared" si="12"/>
        <v>2325</v>
      </c>
      <c r="U153" s="30">
        <f t="shared" si="13"/>
        <v>1463</v>
      </c>
      <c r="V153" s="30">
        <f t="shared" si="14"/>
        <v>679</v>
      </c>
      <c r="W153" s="30">
        <f t="shared" si="15"/>
        <v>46.4</v>
      </c>
      <c r="X153" s="31">
        <v>1200000.0</v>
      </c>
      <c r="Y153" s="30">
        <f t="shared" si="16"/>
        <v>1200000</v>
      </c>
      <c r="Z153" s="30">
        <f t="shared" si="17"/>
        <v>12</v>
      </c>
      <c r="AA153" s="30"/>
      <c r="AB153" s="30"/>
      <c r="AC153" s="30"/>
      <c r="AD153" s="30"/>
      <c r="AE153" s="30"/>
      <c r="AF153" s="30"/>
      <c r="AG153" s="30"/>
      <c r="AH153" s="30"/>
      <c r="AI153" s="30"/>
      <c r="AJ153" s="32"/>
      <c r="AK153" s="32"/>
      <c r="AL153" s="32"/>
    </row>
    <row r="154" ht="14.25" customHeight="1">
      <c r="A154" s="23">
        <v>153.0</v>
      </c>
      <c r="B154" s="24" t="s">
        <v>28</v>
      </c>
      <c r="C154" s="25" t="s">
        <v>163</v>
      </c>
      <c r="D154" s="24">
        <v>0.0</v>
      </c>
      <c r="E154" s="24"/>
      <c r="F154" s="24">
        <v>0.0</v>
      </c>
      <c r="G154" s="24"/>
      <c r="H154" s="24"/>
      <c r="I154" s="24">
        <v>2520.0</v>
      </c>
      <c r="J154" s="26">
        <v>85.28999999999996</v>
      </c>
      <c r="K154" s="26"/>
      <c r="L154" s="26"/>
      <c r="M154" s="26"/>
      <c r="N154" s="26">
        <v>6.0</v>
      </c>
      <c r="O154" s="36">
        <f t="shared" si="1"/>
        <v>100</v>
      </c>
      <c r="P154" s="36">
        <f t="shared" si="18"/>
        <v>185</v>
      </c>
      <c r="Q154" s="37">
        <f t="shared" si="19"/>
        <v>2335</v>
      </c>
      <c r="R154" s="38">
        <f t="shared" si="4"/>
        <v>205364</v>
      </c>
      <c r="S154" s="39">
        <f t="shared" si="11"/>
        <v>0</v>
      </c>
      <c r="T154" s="30">
        <f t="shared" si="12"/>
        <v>2249</v>
      </c>
      <c r="U154" s="30">
        <f t="shared" si="13"/>
        <v>1549</v>
      </c>
      <c r="V154" s="30">
        <f t="shared" si="14"/>
        <v>663</v>
      </c>
      <c r="W154" s="30">
        <f t="shared" si="15"/>
        <v>42.8</v>
      </c>
      <c r="X154" s="31">
        <v>1200000.0</v>
      </c>
      <c r="Y154" s="30">
        <f t="shared" si="16"/>
        <v>1200000</v>
      </c>
      <c r="Z154" s="30">
        <f t="shared" si="17"/>
        <v>13</v>
      </c>
      <c r="AA154" s="30"/>
      <c r="AB154" s="30"/>
      <c r="AC154" s="30"/>
      <c r="AD154" s="30"/>
      <c r="AE154" s="30"/>
      <c r="AF154" s="30"/>
      <c r="AG154" s="30"/>
      <c r="AH154" s="30"/>
      <c r="AI154" s="30"/>
      <c r="AJ154" s="32"/>
      <c r="AK154" s="32"/>
      <c r="AL154" s="32"/>
    </row>
    <row r="155" ht="14.25" customHeight="1">
      <c r="A155" s="23">
        <v>154.0</v>
      </c>
      <c r="B155" s="24" t="s">
        <v>29</v>
      </c>
      <c r="C155" s="25" t="s">
        <v>164</v>
      </c>
      <c r="D155" s="24">
        <v>0.0</v>
      </c>
      <c r="E155" s="24"/>
      <c r="F155" s="24">
        <v>0.0</v>
      </c>
      <c r="G155" s="24"/>
      <c r="H155" s="24"/>
      <c r="I155" s="24">
        <v>-2707.5</v>
      </c>
      <c r="J155" s="26">
        <v>189.2199999999998</v>
      </c>
      <c r="K155" s="26"/>
      <c r="L155" s="26"/>
      <c r="M155" s="26"/>
      <c r="N155" s="26">
        <v>6.0</v>
      </c>
      <c r="O155" s="36">
        <f t="shared" si="1"/>
        <v>100</v>
      </c>
      <c r="P155" s="36">
        <f t="shared" si="18"/>
        <v>289</v>
      </c>
      <c r="Q155" s="37">
        <f t="shared" si="19"/>
        <v>-2997</v>
      </c>
      <c r="R155" s="38">
        <f t="shared" si="4"/>
        <v>202367</v>
      </c>
      <c r="S155" s="39">
        <f t="shared" si="11"/>
        <v>-2997</v>
      </c>
      <c r="T155" s="30">
        <f t="shared" si="12"/>
        <v>2116</v>
      </c>
      <c r="U155" s="30">
        <f t="shared" si="13"/>
        <v>1511</v>
      </c>
      <c r="V155" s="30">
        <f t="shared" si="14"/>
        <v>657</v>
      </c>
      <c r="W155" s="30">
        <f t="shared" si="15"/>
        <v>43.5</v>
      </c>
      <c r="X155" s="31">
        <v>1200000.0</v>
      </c>
      <c r="Y155" s="30">
        <f t="shared" si="16"/>
        <v>1200000</v>
      </c>
      <c r="Z155" s="30">
        <f t="shared" si="17"/>
        <v>13</v>
      </c>
      <c r="AA155" s="30"/>
      <c r="AB155" s="30"/>
      <c r="AC155" s="30"/>
      <c r="AD155" s="30"/>
      <c r="AE155" s="30"/>
      <c r="AF155" s="30"/>
      <c r="AG155" s="30"/>
      <c r="AH155" s="30"/>
      <c r="AI155" s="30"/>
      <c r="AJ155" s="32"/>
      <c r="AK155" s="32"/>
      <c r="AL155" s="32"/>
    </row>
    <row r="156" ht="14.25" customHeight="1">
      <c r="A156" s="23">
        <v>155.0</v>
      </c>
      <c r="B156" s="24" t="s">
        <v>30</v>
      </c>
      <c r="C156" s="25" t="s">
        <v>165</v>
      </c>
      <c r="D156" s="24">
        <v>0.0</v>
      </c>
      <c r="E156" s="24"/>
      <c r="F156" s="24">
        <v>0.0</v>
      </c>
      <c r="G156" s="24"/>
      <c r="H156" s="24"/>
      <c r="I156" s="24">
        <v>6727.5</v>
      </c>
      <c r="J156" s="26">
        <v>67.96000000000004</v>
      </c>
      <c r="K156" s="26"/>
      <c r="L156" s="26"/>
      <c r="M156" s="26"/>
      <c r="N156" s="26">
        <v>6.0</v>
      </c>
      <c r="O156" s="36">
        <f t="shared" si="1"/>
        <v>100</v>
      </c>
      <c r="P156" s="36">
        <f t="shared" si="18"/>
        <v>168</v>
      </c>
      <c r="Q156" s="37">
        <f t="shared" si="19"/>
        <v>6560</v>
      </c>
      <c r="R156" s="38">
        <f t="shared" si="4"/>
        <v>208927</v>
      </c>
      <c r="S156" s="39">
        <f t="shared" si="11"/>
        <v>0</v>
      </c>
      <c r="T156" s="30">
        <f t="shared" si="12"/>
        <v>2258</v>
      </c>
      <c r="U156" s="30">
        <f t="shared" si="13"/>
        <v>1645</v>
      </c>
      <c r="V156" s="30">
        <f t="shared" si="14"/>
        <v>646</v>
      </c>
      <c r="W156" s="30">
        <f t="shared" si="15"/>
        <v>39.3</v>
      </c>
      <c r="X156" s="31">
        <v>1200000.0</v>
      </c>
      <c r="Y156" s="30">
        <f t="shared" si="16"/>
        <v>1200000</v>
      </c>
      <c r="Z156" s="30">
        <f t="shared" si="17"/>
        <v>14</v>
      </c>
      <c r="AA156" s="30"/>
      <c r="AB156" s="30"/>
      <c r="AC156" s="30"/>
      <c r="AD156" s="30"/>
      <c r="AE156" s="30"/>
      <c r="AF156" s="30"/>
      <c r="AG156" s="30"/>
      <c r="AH156" s="30"/>
      <c r="AI156" s="30"/>
      <c r="AJ156" s="32"/>
      <c r="AK156" s="32"/>
      <c r="AL156" s="32"/>
    </row>
    <row r="157" ht="14.25" customHeight="1">
      <c r="A157" s="23">
        <v>156.0</v>
      </c>
      <c r="B157" s="24" t="s">
        <v>26</v>
      </c>
      <c r="C157" s="25" t="s">
        <v>166</v>
      </c>
      <c r="D157" s="24">
        <v>0.0</v>
      </c>
      <c r="E157" s="24"/>
      <c r="F157" s="24">
        <v>0.0</v>
      </c>
      <c r="G157" s="24"/>
      <c r="H157" s="24"/>
      <c r="I157" s="24">
        <v>1273.75</v>
      </c>
      <c r="J157" s="26">
        <v>320.42999999999995</v>
      </c>
      <c r="K157" s="26"/>
      <c r="L157" s="26"/>
      <c r="M157" s="26"/>
      <c r="N157" s="26">
        <v>6.0</v>
      </c>
      <c r="O157" s="36">
        <f t="shared" si="1"/>
        <v>100</v>
      </c>
      <c r="P157" s="36">
        <f t="shared" si="18"/>
        <v>420</v>
      </c>
      <c r="Q157" s="37">
        <f t="shared" si="19"/>
        <v>854</v>
      </c>
      <c r="R157" s="38">
        <f t="shared" si="4"/>
        <v>209781</v>
      </c>
      <c r="S157" s="39">
        <f t="shared" si="11"/>
        <v>0</v>
      </c>
      <c r="T157" s="30">
        <f t="shared" si="12"/>
        <v>2339</v>
      </c>
      <c r="U157" s="30">
        <f t="shared" si="13"/>
        <v>1489</v>
      </c>
      <c r="V157" s="30">
        <f t="shared" si="14"/>
        <v>643</v>
      </c>
      <c r="W157" s="30">
        <f t="shared" si="15"/>
        <v>43.2</v>
      </c>
      <c r="X157" s="31">
        <v>1200000.0</v>
      </c>
      <c r="Y157" s="30">
        <f t="shared" si="16"/>
        <v>1200000</v>
      </c>
      <c r="Z157" s="30">
        <f t="shared" si="17"/>
        <v>12</v>
      </c>
      <c r="AA157" s="30"/>
      <c r="AB157" s="30"/>
      <c r="AC157" s="30"/>
      <c r="AD157" s="30"/>
      <c r="AE157" s="30"/>
      <c r="AF157" s="30"/>
      <c r="AG157" s="30"/>
      <c r="AH157" s="30"/>
      <c r="AI157" s="30"/>
      <c r="AJ157" s="32"/>
      <c r="AK157" s="32"/>
      <c r="AL157" s="32"/>
    </row>
    <row r="158" ht="14.25" customHeight="1">
      <c r="A158" s="23">
        <v>157.0</v>
      </c>
      <c r="B158" s="24" t="s">
        <v>27</v>
      </c>
      <c r="C158" s="25" t="s">
        <v>167</v>
      </c>
      <c r="D158" s="24">
        <v>0.0</v>
      </c>
      <c r="E158" s="24"/>
      <c r="F158" s="24">
        <v>0.0</v>
      </c>
      <c r="G158" s="24"/>
      <c r="H158" s="24"/>
      <c r="I158" s="24">
        <v>-980.0</v>
      </c>
      <c r="J158" s="26">
        <v>422.8800000000001</v>
      </c>
      <c r="K158" s="26"/>
      <c r="L158" s="26"/>
      <c r="M158" s="26"/>
      <c r="N158" s="26">
        <v>6.0</v>
      </c>
      <c r="O158" s="36">
        <f t="shared" si="1"/>
        <v>100</v>
      </c>
      <c r="P158" s="36">
        <f t="shared" si="18"/>
        <v>523</v>
      </c>
      <c r="Q158" s="37">
        <f t="shared" si="19"/>
        <v>-1503</v>
      </c>
      <c r="R158" s="38">
        <f t="shared" si="4"/>
        <v>208278</v>
      </c>
      <c r="S158" s="39">
        <f t="shared" si="11"/>
        <v>-1503</v>
      </c>
      <c r="T158" s="30">
        <f t="shared" si="12"/>
        <v>2104</v>
      </c>
      <c r="U158" s="30">
        <f t="shared" si="13"/>
        <v>1449</v>
      </c>
      <c r="V158" s="30">
        <f t="shared" si="14"/>
        <v>642</v>
      </c>
      <c r="W158" s="30">
        <f t="shared" si="15"/>
        <v>44.3</v>
      </c>
      <c r="X158" s="31">
        <v>1200000.0</v>
      </c>
      <c r="Y158" s="30">
        <f t="shared" si="16"/>
        <v>1200000</v>
      </c>
      <c r="Z158" s="30">
        <f t="shared" si="17"/>
        <v>12</v>
      </c>
      <c r="AA158" s="30"/>
      <c r="AB158" s="30"/>
      <c r="AC158" s="30"/>
      <c r="AD158" s="30"/>
      <c r="AE158" s="30"/>
      <c r="AF158" s="30"/>
      <c r="AG158" s="30"/>
      <c r="AH158" s="30"/>
      <c r="AI158" s="30"/>
      <c r="AJ158" s="32"/>
      <c r="AK158" s="32"/>
      <c r="AL158" s="32"/>
    </row>
    <row r="159" ht="14.25" customHeight="1">
      <c r="A159" s="23">
        <v>158.0</v>
      </c>
      <c r="B159" s="24" t="s">
        <v>28</v>
      </c>
      <c r="C159" s="25" t="s">
        <v>168</v>
      </c>
      <c r="D159" s="24">
        <v>0.0</v>
      </c>
      <c r="E159" s="24"/>
      <c r="F159" s="24">
        <v>0.0</v>
      </c>
      <c r="G159" s="24"/>
      <c r="H159" s="24"/>
      <c r="I159" s="24">
        <v>-8542.0</v>
      </c>
      <c r="J159" s="26">
        <v>776.0799999999999</v>
      </c>
      <c r="K159" s="26"/>
      <c r="L159" s="26"/>
      <c r="M159" s="26"/>
      <c r="N159" s="26">
        <v>6.0</v>
      </c>
      <c r="O159" s="36">
        <f t="shared" si="1"/>
        <v>100</v>
      </c>
      <c r="P159" s="36">
        <f t="shared" si="18"/>
        <v>876</v>
      </c>
      <c r="Q159" s="37">
        <f t="shared" si="19"/>
        <v>-9418</v>
      </c>
      <c r="R159" s="38">
        <f t="shared" si="4"/>
        <v>198860</v>
      </c>
      <c r="S159" s="39">
        <f t="shared" si="11"/>
        <v>-10921</v>
      </c>
      <c r="T159" s="30">
        <f t="shared" si="12"/>
        <v>1942</v>
      </c>
      <c r="U159" s="30">
        <f t="shared" si="13"/>
        <v>1277</v>
      </c>
      <c r="V159" s="30">
        <f t="shared" si="14"/>
        <v>644</v>
      </c>
      <c r="W159" s="30">
        <f t="shared" si="15"/>
        <v>50.4</v>
      </c>
      <c r="X159" s="31">
        <v>1200000.0</v>
      </c>
      <c r="Y159" s="30">
        <f t="shared" si="16"/>
        <v>1200000</v>
      </c>
      <c r="Z159" s="30">
        <f t="shared" si="17"/>
        <v>11</v>
      </c>
      <c r="AA159" s="30"/>
      <c r="AB159" s="30"/>
      <c r="AC159" s="30"/>
      <c r="AD159" s="30"/>
      <c r="AE159" s="30"/>
      <c r="AF159" s="30"/>
      <c r="AG159" s="30"/>
      <c r="AH159" s="30"/>
      <c r="AI159" s="30"/>
      <c r="AJ159" s="32"/>
      <c r="AK159" s="32"/>
      <c r="AL159" s="32"/>
    </row>
    <row r="160" ht="14.25" customHeight="1">
      <c r="A160" s="23">
        <v>159.0</v>
      </c>
      <c r="B160" s="24" t="s">
        <v>29</v>
      </c>
      <c r="C160" s="25" t="s">
        <v>169</v>
      </c>
      <c r="D160" s="24">
        <v>0.0</v>
      </c>
      <c r="E160" s="24"/>
      <c r="F160" s="24">
        <v>0.0</v>
      </c>
      <c r="G160" s="24"/>
      <c r="H160" s="24"/>
      <c r="I160" s="24">
        <v>13285.0</v>
      </c>
      <c r="J160" s="26">
        <v>438.5100000000002</v>
      </c>
      <c r="K160" s="26"/>
      <c r="L160" s="26"/>
      <c r="M160" s="26"/>
      <c r="N160" s="26">
        <v>6.0</v>
      </c>
      <c r="O160" s="36">
        <f t="shared" si="1"/>
        <v>100</v>
      </c>
      <c r="P160" s="36">
        <f t="shared" si="18"/>
        <v>539</v>
      </c>
      <c r="Q160" s="37">
        <f t="shared" si="19"/>
        <v>12746</v>
      </c>
      <c r="R160" s="38">
        <f t="shared" si="4"/>
        <v>211606</v>
      </c>
      <c r="S160" s="39">
        <f t="shared" si="11"/>
        <v>0</v>
      </c>
      <c r="T160" s="30">
        <f t="shared" si="12"/>
        <v>2190</v>
      </c>
      <c r="U160" s="30">
        <f t="shared" si="13"/>
        <v>1453</v>
      </c>
      <c r="V160" s="30">
        <f t="shared" si="14"/>
        <v>641</v>
      </c>
      <c r="W160" s="30">
        <f t="shared" si="15"/>
        <v>44.1</v>
      </c>
      <c r="X160" s="31">
        <v>1200000.0</v>
      </c>
      <c r="Y160" s="30">
        <f t="shared" si="16"/>
        <v>1200000</v>
      </c>
      <c r="Z160" s="30">
        <f t="shared" si="17"/>
        <v>12</v>
      </c>
      <c r="AA160" s="30"/>
      <c r="AB160" s="30"/>
      <c r="AC160" s="30"/>
      <c r="AD160" s="30"/>
      <c r="AE160" s="30"/>
      <c r="AF160" s="30"/>
      <c r="AG160" s="30"/>
      <c r="AH160" s="30"/>
      <c r="AI160" s="30"/>
      <c r="AJ160" s="32"/>
      <c r="AK160" s="32"/>
      <c r="AL160" s="32"/>
    </row>
    <row r="161" ht="14.25" customHeight="1">
      <c r="A161" s="23">
        <v>160.0</v>
      </c>
      <c r="B161" s="24" t="s">
        <v>30</v>
      </c>
      <c r="C161" s="25" t="s">
        <v>170</v>
      </c>
      <c r="D161" s="24">
        <v>0.0</v>
      </c>
      <c r="E161" s="24"/>
      <c r="F161" s="24">
        <v>0.0</v>
      </c>
      <c r="G161" s="24"/>
      <c r="H161" s="24"/>
      <c r="I161" s="24">
        <v>5672.5</v>
      </c>
      <c r="J161" s="26">
        <v>101.40999999999985</v>
      </c>
      <c r="K161" s="26"/>
      <c r="L161" s="26"/>
      <c r="M161" s="26"/>
      <c r="N161" s="26">
        <v>6.0</v>
      </c>
      <c r="O161" s="36">
        <f t="shared" si="1"/>
        <v>100</v>
      </c>
      <c r="P161" s="36">
        <f t="shared" si="18"/>
        <v>201</v>
      </c>
      <c r="Q161" s="37">
        <f t="shared" si="19"/>
        <v>5472</v>
      </c>
      <c r="R161" s="38">
        <f t="shared" si="4"/>
        <v>217078</v>
      </c>
      <c r="S161" s="39">
        <f t="shared" si="11"/>
        <v>0</v>
      </c>
      <c r="T161" s="30">
        <f t="shared" si="12"/>
        <v>2356</v>
      </c>
      <c r="U161" s="30">
        <f t="shared" si="13"/>
        <v>1645</v>
      </c>
      <c r="V161" s="30">
        <f t="shared" si="14"/>
        <v>633</v>
      </c>
      <c r="W161" s="30">
        <f t="shared" si="15"/>
        <v>38.5</v>
      </c>
      <c r="X161" s="31">
        <v>1200000.0</v>
      </c>
      <c r="Y161" s="30">
        <f t="shared" si="16"/>
        <v>1200000</v>
      </c>
      <c r="Z161" s="30">
        <f t="shared" si="17"/>
        <v>14</v>
      </c>
      <c r="AA161" s="30"/>
      <c r="AB161" s="30"/>
      <c r="AC161" s="30"/>
      <c r="AD161" s="30"/>
      <c r="AE161" s="30"/>
      <c r="AF161" s="30"/>
      <c r="AG161" s="30"/>
      <c r="AH161" s="30"/>
      <c r="AI161" s="30"/>
      <c r="AJ161" s="32"/>
      <c r="AK161" s="32"/>
      <c r="AL161" s="32"/>
    </row>
    <row r="162" ht="14.25" customHeight="1">
      <c r="A162" s="23">
        <v>161.0</v>
      </c>
      <c r="B162" s="24" t="s">
        <v>26</v>
      </c>
      <c r="C162" s="25" t="s">
        <v>171</v>
      </c>
      <c r="D162" s="24">
        <v>0.0</v>
      </c>
      <c r="E162" s="24"/>
      <c r="F162" s="24">
        <v>0.0</v>
      </c>
      <c r="G162" s="24"/>
      <c r="H162" s="24"/>
      <c r="I162" s="24">
        <v>-7311.25</v>
      </c>
      <c r="J162" s="26">
        <v>568.5699999999997</v>
      </c>
      <c r="K162" s="26"/>
      <c r="L162" s="26"/>
      <c r="M162" s="26"/>
      <c r="N162" s="26">
        <v>6.0</v>
      </c>
      <c r="O162" s="36">
        <f t="shared" si="1"/>
        <v>100</v>
      </c>
      <c r="P162" s="36">
        <f t="shared" si="18"/>
        <v>669</v>
      </c>
      <c r="Q162" s="37">
        <f t="shared" si="19"/>
        <v>-7980</v>
      </c>
      <c r="R162" s="38">
        <f t="shared" si="4"/>
        <v>209098</v>
      </c>
      <c r="S162" s="39">
        <f t="shared" si="11"/>
        <v>-7980</v>
      </c>
      <c r="T162" s="30">
        <f t="shared" si="12"/>
        <v>2267</v>
      </c>
      <c r="U162" s="30">
        <f t="shared" si="13"/>
        <v>2100</v>
      </c>
      <c r="V162" s="30">
        <f t="shared" si="14"/>
        <v>623</v>
      </c>
      <c r="W162" s="30">
        <f t="shared" si="15"/>
        <v>29.7</v>
      </c>
      <c r="X162" s="31">
        <v>1200000.0</v>
      </c>
      <c r="Y162" s="30">
        <f t="shared" si="16"/>
        <v>1200000</v>
      </c>
      <c r="Z162" s="30">
        <f t="shared" si="17"/>
        <v>18</v>
      </c>
      <c r="AA162" s="30"/>
      <c r="AB162" s="30"/>
      <c r="AC162" s="30"/>
      <c r="AD162" s="30"/>
      <c r="AE162" s="30"/>
      <c r="AF162" s="30"/>
      <c r="AG162" s="30"/>
      <c r="AH162" s="30"/>
      <c r="AI162" s="30"/>
      <c r="AJ162" s="32"/>
      <c r="AK162" s="32"/>
      <c r="AL162" s="32"/>
    </row>
    <row r="163" ht="14.25" customHeight="1">
      <c r="A163" s="23">
        <v>162.0</v>
      </c>
      <c r="B163" s="24" t="s">
        <v>27</v>
      </c>
      <c r="C163" s="25" t="s">
        <v>172</v>
      </c>
      <c r="D163" s="24">
        <v>0.0</v>
      </c>
      <c r="E163" s="24"/>
      <c r="F163" s="24">
        <v>0.0</v>
      </c>
      <c r="G163" s="24"/>
      <c r="H163" s="24"/>
      <c r="I163" s="24">
        <v>-6673.75</v>
      </c>
      <c r="J163" s="26">
        <v>1310.1899999999996</v>
      </c>
      <c r="K163" s="26"/>
      <c r="L163" s="26"/>
      <c r="M163" s="26"/>
      <c r="N163" s="26">
        <v>6.0</v>
      </c>
      <c r="O163" s="36">
        <f t="shared" si="1"/>
        <v>100</v>
      </c>
      <c r="P163" s="36">
        <f t="shared" si="18"/>
        <v>1410</v>
      </c>
      <c r="Q163" s="37">
        <f t="shared" si="19"/>
        <v>-8084</v>
      </c>
      <c r="R163" s="38">
        <f t="shared" si="4"/>
        <v>201014</v>
      </c>
      <c r="S163" s="39">
        <f t="shared" si="11"/>
        <v>-16064</v>
      </c>
      <c r="T163" s="30">
        <f t="shared" si="12"/>
        <v>2009</v>
      </c>
      <c r="U163" s="30">
        <f t="shared" si="13"/>
        <v>1919</v>
      </c>
      <c r="V163" s="30">
        <f t="shared" si="14"/>
        <v>633</v>
      </c>
      <c r="W163" s="30">
        <f t="shared" si="15"/>
        <v>33</v>
      </c>
      <c r="X163" s="31">
        <v>1200000.0</v>
      </c>
      <c r="Y163" s="30">
        <f t="shared" si="16"/>
        <v>1200000</v>
      </c>
      <c r="Z163" s="30">
        <f t="shared" si="17"/>
        <v>16</v>
      </c>
      <c r="AA163" s="30"/>
      <c r="AB163" s="30"/>
      <c r="AC163" s="30"/>
      <c r="AD163" s="30"/>
      <c r="AE163" s="30"/>
      <c r="AF163" s="30"/>
      <c r="AG163" s="30"/>
      <c r="AH163" s="30"/>
      <c r="AI163" s="30"/>
      <c r="AJ163" s="32"/>
      <c r="AK163" s="32"/>
      <c r="AL163" s="32"/>
    </row>
    <row r="164" ht="14.25" customHeight="1">
      <c r="A164" s="23">
        <v>163.0</v>
      </c>
      <c r="B164" s="24" t="s">
        <v>28</v>
      </c>
      <c r="C164" s="25" t="s">
        <v>173</v>
      </c>
      <c r="D164" s="24">
        <v>0.0</v>
      </c>
      <c r="E164" s="24"/>
      <c r="F164" s="24">
        <v>0.0</v>
      </c>
      <c r="G164" s="24"/>
      <c r="H164" s="24"/>
      <c r="I164" s="24">
        <v>12719.0</v>
      </c>
      <c r="J164" s="26">
        <v>123.77000000000044</v>
      </c>
      <c r="K164" s="26"/>
      <c r="L164" s="26"/>
      <c r="M164" s="26"/>
      <c r="N164" s="26">
        <v>6.0</v>
      </c>
      <c r="O164" s="36">
        <f t="shared" si="1"/>
        <v>100</v>
      </c>
      <c r="P164" s="36">
        <f t="shared" si="18"/>
        <v>224</v>
      </c>
      <c r="Q164" s="37">
        <f t="shared" si="19"/>
        <v>12495</v>
      </c>
      <c r="R164" s="38">
        <f t="shared" si="4"/>
        <v>213509</v>
      </c>
      <c r="S164" s="39">
        <f t="shared" si="11"/>
        <v>-3569</v>
      </c>
      <c r="T164" s="30">
        <f t="shared" si="12"/>
        <v>2290</v>
      </c>
      <c r="U164" s="30">
        <f t="shared" si="13"/>
        <v>2052</v>
      </c>
      <c r="V164" s="30">
        <f t="shared" si="14"/>
        <v>615</v>
      </c>
      <c r="W164" s="30">
        <f t="shared" si="15"/>
        <v>30</v>
      </c>
      <c r="X164" s="31">
        <v>1200000.0</v>
      </c>
      <c r="Y164" s="30">
        <f t="shared" si="16"/>
        <v>1200000</v>
      </c>
      <c r="Z164" s="30">
        <f t="shared" si="17"/>
        <v>17</v>
      </c>
      <c r="AA164" s="30"/>
      <c r="AB164" s="30"/>
      <c r="AC164" s="30"/>
      <c r="AD164" s="30"/>
      <c r="AE164" s="30"/>
      <c r="AF164" s="30"/>
      <c r="AG164" s="30"/>
      <c r="AH164" s="30"/>
      <c r="AI164" s="30"/>
      <c r="AJ164" s="32"/>
      <c r="AK164" s="32"/>
      <c r="AL164" s="32"/>
    </row>
    <row r="165" ht="14.25" customHeight="1">
      <c r="A165" s="23">
        <v>164.0</v>
      </c>
      <c r="B165" s="24" t="s">
        <v>29</v>
      </c>
      <c r="C165" s="25" t="s">
        <v>174</v>
      </c>
      <c r="D165" s="24">
        <v>0.0</v>
      </c>
      <c r="E165" s="24"/>
      <c r="F165" s="24">
        <v>0.0</v>
      </c>
      <c r="G165" s="24"/>
      <c r="H165" s="24"/>
      <c r="I165" s="24">
        <v>2556.5</v>
      </c>
      <c r="J165" s="26">
        <v>188.6300000000001</v>
      </c>
      <c r="K165" s="26"/>
      <c r="L165" s="26"/>
      <c r="M165" s="26"/>
      <c r="N165" s="26">
        <v>6.0</v>
      </c>
      <c r="O165" s="36">
        <f t="shared" si="1"/>
        <v>100</v>
      </c>
      <c r="P165" s="36">
        <f t="shared" si="18"/>
        <v>289</v>
      </c>
      <c r="Q165" s="37">
        <f t="shared" si="19"/>
        <v>2268</v>
      </c>
      <c r="R165" s="38">
        <f t="shared" si="4"/>
        <v>215777</v>
      </c>
      <c r="S165" s="39">
        <f t="shared" si="11"/>
        <v>-1301</v>
      </c>
      <c r="T165" s="30">
        <f t="shared" si="12"/>
        <v>2187</v>
      </c>
      <c r="U165" s="30">
        <f t="shared" si="13"/>
        <v>1940</v>
      </c>
      <c r="V165" s="30">
        <f t="shared" si="14"/>
        <v>613</v>
      </c>
      <c r="W165" s="30">
        <f t="shared" si="15"/>
        <v>31.6</v>
      </c>
      <c r="X165" s="31">
        <v>1200000.0</v>
      </c>
      <c r="Y165" s="30">
        <f t="shared" si="16"/>
        <v>1200000</v>
      </c>
      <c r="Z165" s="30">
        <f t="shared" si="17"/>
        <v>16</v>
      </c>
      <c r="AA165" s="30"/>
      <c r="AB165" s="30"/>
      <c r="AC165" s="30"/>
      <c r="AD165" s="30"/>
      <c r="AE165" s="30"/>
      <c r="AF165" s="30"/>
      <c r="AG165" s="30"/>
      <c r="AH165" s="30"/>
      <c r="AI165" s="30"/>
      <c r="AJ165" s="32"/>
      <c r="AK165" s="32"/>
      <c r="AL165" s="32"/>
    </row>
    <row r="166" ht="14.25" customHeight="1">
      <c r="A166" s="23">
        <v>165.0</v>
      </c>
      <c r="B166" s="24" t="s">
        <v>30</v>
      </c>
      <c r="C166" s="25" t="s">
        <v>175</v>
      </c>
      <c r="D166" s="24">
        <v>0.0</v>
      </c>
      <c r="E166" s="24"/>
      <c r="F166" s="24">
        <v>0.0</v>
      </c>
      <c r="G166" s="24"/>
      <c r="H166" s="24"/>
      <c r="I166" s="24">
        <v>-1178.75</v>
      </c>
      <c r="J166" s="26">
        <v>133.99</v>
      </c>
      <c r="K166" s="26"/>
      <c r="L166" s="26"/>
      <c r="M166" s="26"/>
      <c r="N166" s="26">
        <v>6.0</v>
      </c>
      <c r="O166" s="36">
        <f t="shared" si="1"/>
        <v>100</v>
      </c>
      <c r="P166" s="36">
        <f t="shared" si="18"/>
        <v>234</v>
      </c>
      <c r="Q166" s="37">
        <f t="shared" si="19"/>
        <v>-1413</v>
      </c>
      <c r="R166" s="38">
        <f t="shared" si="4"/>
        <v>214364</v>
      </c>
      <c r="S166" s="39">
        <f t="shared" si="11"/>
        <v>-2714</v>
      </c>
      <c r="T166" s="30">
        <f t="shared" si="12"/>
        <v>2002</v>
      </c>
      <c r="U166" s="30">
        <f t="shared" si="13"/>
        <v>1911</v>
      </c>
      <c r="V166" s="30">
        <f t="shared" si="14"/>
        <v>613</v>
      </c>
      <c r="W166" s="30">
        <f t="shared" si="15"/>
        <v>32.1</v>
      </c>
      <c r="X166" s="31">
        <v>1200000.0</v>
      </c>
      <c r="Y166" s="30">
        <f t="shared" si="16"/>
        <v>1200000</v>
      </c>
      <c r="Z166" s="30">
        <f t="shared" si="17"/>
        <v>16</v>
      </c>
      <c r="AA166" s="30"/>
      <c r="AB166" s="30"/>
      <c r="AC166" s="30"/>
      <c r="AD166" s="30"/>
      <c r="AE166" s="30"/>
      <c r="AF166" s="30"/>
      <c r="AG166" s="30"/>
      <c r="AH166" s="30"/>
      <c r="AI166" s="30"/>
      <c r="AJ166" s="32"/>
      <c r="AK166" s="32"/>
      <c r="AL166" s="32"/>
    </row>
    <row r="167" ht="14.25" customHeight="1">
      <c r="A167" s="23">
        <v>166.0</v>
      </c>
      <c r="B167" s="24" t="s">
        <v>26</v>
      </c>
      <c r="C167" s="25" t="s">
        <v>176</v>
      </c>
      <c r="D167" s="24">
        <v>0.0</v>
      </c>
      <c r="E167" s="24"/>
      <c r="F167" s="24">
        <v>0.0</v>
      </c>
      <c r="G167" s="24"/>
      <c r="H167" s="24"/>
      <c r="I167" s="24">
        <v>-4166.25</v>
      </c>
      <c r="J167" s="26">
        <v>296.47999999999956</v>
      </c>
      <c r="K167" s="26"/>
      <c r="L167" s="26"/>
      <c r="M167" s="26"/>
      <c r="N167" s="26">
        <v>6.0</v>
      </c>
      <c r="O167" s="36">
        <f t="shared" si="1"/>
        <v>100</v>
      </c>
      <c r="P167" s="36">
        <f t="shared" si="18"/>
        <v>396</v>
      </c>
      <c r="Q167" s="37">
        <f t="shared" si="19"/>
        <v>-4562</v>
      </c>
      <c r="R167" s="38">
        <f t="shared" si="4"/>
        <v>209802</v>
      </c>
      <c r="S167" s="39">
        <f t="shared" si="11"/>
        <v>-7276</v>
      </c>
      <c r="T167" s="30">
        <f t="shared" si="12"/>
        <v>1638</v>
      </c>
      <c r="U167" s="30">
        <f t="shared" si="13"/>
        <v>1683</v>
      </c>
      <c r="V167" s="30">
        <f t="shared" si="14"/>
        <v>614</v>
      </c>
      <c r="W167" s="30">
        <f t="shared" si="15"/>
        <v>36.5</v>
      </c>
      <c r="X167" s="31">
        <v>1200000.0</v>
      </c>
      <c r="Y167" s="30">
        <f t="shared" si="16"/>
        <v>1200000</v>
      </c>
      <c r="Z167" s="30">
        <f t="shared" si="17"/>
        <v>14</v>
      </c>
      <c r="AA167" s="30"/>
      <c r="AB167" s="30"/>
      <c r="AC167" s="30"/>
      <c r="AD167" s="30"/>
      <c r="AE167" s="30"/>
      <c r="AF167" s="30"/>
      <c r="AG167" s="30"/>
      <c r="AH167" s="30"/>
      <c r="AI167" s="30"/>
      <c r="AJ167" s="32"/>
      <c r="AK167" s="32"/>
      <c r="AL167" s="32"/>
    </row>
    <row r="168" ht="14.25" customHeight="1">
      <c r="A168" s="23">
        <v>167.0</v>
      </c>
      <c r="B168" s="24" t="s">
        <v>27</v>
      </c>
      <c r="C168" s="25" t="s">
        <v>177</v>
      </c>
      <c r="D168" s="24">
        <v>0.0</v>
      </c>
      <c r="E168" s="24"/>
      <c r="F168" s="24">
        <v>0.0</v>
      </c>
      <c r="G168" s="24"/>
      <c r="H168" s="24"/>
      <c r="I168" s="24">
        <v>-13611.25</v>
      </c>
      <c r="J168" s="26">
        <v>392.0</v>
      </c>
      <c r="K168" s="26"/>
      <c r="L168" s="26"/>
      <c r="M168" s="26"/>
      <c r="N168" s="26">
        <v>6.0</v>
      </c>
      <c r="O168" s="36">
        <f t="shared" si="1"/>
        <v>100</v>
      </c>
      <c r="P168" s="36">
        <f t="shared" si="18"/>
        <v>492</v>
      </c>
      <c r="Q168" s="37">
        <f t="shared" si="19"/>
        <v>-14103</v>
      </c>
      <c r="R168" s="38">
        <f t="shared" si="4"/>
        <v>195699</v>
      </c>
      <c r="S168" s="39">
        <f t="shared" si="11"/>
        <v>-21379</v>
      </c>
      <c r="T168" s="30">
        <f t="shared" si="12"/>
        <v>1411</v>
      </c>
      <c r="U168" s="30">
        <f t="shared" si="13"/>
        <v>1524</v>
      </c>
      <c r="V168" s="30">
        <f t="shared" si="14"/>
        <v>615</v>
      </c>
      <c r="W168" s="30">
        <f t="shared" si="15"/>
        <v>40.4</v>
      </c>
      <c r="X168" s="31">
        <v>1200000.0</v>
      </c>
      <c r="Y168" s="30">
        <f t="shared" si="16"/>
        <v>1200000</v>
      </c>
      <c r="Z168" s="30">
        <f t="shared" si="17"/>
        <v>13</v>
      </c>
      <c r="AA168" s="30"/>
      <c r="AB168" s="30"/>
      <c r="AC168" s="30"/>
      <c r="AD168" s="30"/>
      <c r="AE168" s="30"/>
      <c r="AF168" s="30"/>
      <c r="AG168" s="30"/>
      <c r="AH168" s="30"/>
      <c r="AI168" s="30"/>
      <c r="AJ168" s="32"/>
      <c r="AK168" s="32"/>
      <c r="AL168" s="32"/>
    </row>
    <row r="169" ht="14.25" customHeight="1">
      <c r="A169" s="23">
        <v>168.0</v>
      </c>
      <c r="B169" s="24" t="s">
        <v>28</v>
      </c>
      <c r="C169" s="25" t="s">
        <v>178</v>
      </c>
      <c r="D169" s="24">
        <v>0.0</v>
      </c>
      <c r="E169" s="24"/>
      <c r="F169" s="24">
        <v>0.0</v>
      </c>
      <c r="G169" s="24"/>
      <c r="H169" s="24"/>
      <c r="I169" s="24">
        <v>-3447.0</v>
      </c>
      <c r="J169" s="26">
        <v>76.86999999999989</v>
      </c>
      <c r="K169" s="26"/>
      <c r="L169" s="26"/>
      <c r="M169" s="26"/>
      <c r="N169" s="26">
        <v>6.0</v>
      </c>
      <c r="O169" s="36">
        <f t="shared" si="1"/>
        <v>100</v>
      </c>
      <c r="P169" s="36">
        <f t="shared" si="18"/>
        <v>177</v>
      </c>
      <c r="Q169" s="37">
        <f t="shared" si="19"/>
        <v>-3624</v>
      </c>
      <c r="R169" s="38">
        <f t="shared" si="4"/>
        <v>192075</v>
      </c>
      <c r="S169" s="39">
        <f t="shared" si="11"/>
        <v>-25003</v>
      </c>
      <c r="T169" s="30">
        <f t="shared" si="12"/>
        <v>1218</v>
      </c>
      <c r="U169" s="30">
        <f t="shared" si="13"/>
        <v>1483</v>
      </c>
      <c r="V169" s="30">
        <f t="shared" si="14"/>
        <v>604</v>
      </c>
      <c r="W169" s="30">
        <f t="shared" si="15"/>
        <v>40.7</v>
      </c>
      <c r="X169" s="31">
        <v>1200000.0</v>
      </c>
      <c r="Y169" s="30">
        <f t="shared" si="16"/>
        <v>1200000</v>
      </c>
      <c r="Z169" s="30">
        <f t="shared" si="17"/>
        <v>12</v>
      </c>
      <c r="AA169" s="30"/>
      <c r="AB169" s="30"/>
      <c r="AC169" s="30"/>
      <c r="AD169" s="30"/>
      <c r="AE169" s="30"/>
      <c r="AF169" s="30"/>
      <c r="AG169" s="30"/>
      <c r="AH169" s="30"/>
      <c r="AI169" s="30"/>
      <c r="AJ169" s="32"/>
      <c r="AK169" s="32"/>
      <c r="AL169" s="32"/>
    </row>
    <row r="170" ht="14.25" customHeight="1">
      <c r="A170" s="23">
        <v>169.0</v>
      </c>
      <c r="B170" s="24" t="s">
        <v>29</v>
      </c>
      <c r="C170" s="25" t="s">
        <v>179</v>
      </c>
      <c r="D170" s="24">
        <v>0.0</v>
      </c>
      <c r="E170" s="24"/>
      <c r="F170" s="24">
        <v>0.0</v>
      </c>
      <c r="G170" s="24"/>
      <c r="H170" s="24"/>
      <c r="I170" s="24">
        <v>6586.25</v>
      </c>
      <c r="J170" s="26">
        <v>60.30000000000018</v>
      </c>
      <c r="K170" s="26"/>
      <c r="L170" s="26"/>
      <c r="M170" s="26"/>
      <c r="N170" s="26">
        <v>6.0</v>
      </c>
      <c r="O170" s="36">
        <f t="shared" si="1"/>
        <v>100</v>
      </c>
      <c r="P170" s="36">
        <f t="shared" si="18"/>
        <v>160</v>
      </c>
      <c r="Q170" s="37">
        <f t="shared" si="19"/>
        <v>6426</v>
      </c>
      <c r="R170" s="38">
        <f t="shared" si="4"/>
        <v>198501</v>
      </c>
      <c r="S170" s="39">
        <f t="shared" si="11"/>
        <v>-18577</v>
      </c>
      <c r="T170" s="30">
        <f t="shared" si="12"/>
        <v>1243</v>
      </c>
      <c r="U170" s="30">
        <f t="shared" si="13"/>
        <v>1505</v>
      </c>
      <c r="V170" s="30">
        <f t="shared" si="14"/>
        <v>599</v>
      </c>
      <c r="W170" s="30">
        <f t="shared" si="15"/>
        <v>39.8</v>
      </c>
      <c r="X170" s="31">
        <v>1200000.0</v>
      </c>
      <c r="Y170" s="30">
        <f t="shared" si="16"/>
        <v>1200000</v>
      </c>
      <c r="Z170" s="30">
        <f t="shared" si="17"/>
        <v>13</v>
      </c>
      <c r="AA170" s="30"/>
      <c r="AB170" s="30"/>
      <c r="AC170" s="30"/>
      <c r="AD170" s="30"/>
      <c r="AE170" s="30"/>
      <c r="AF170" s="30"/>
      <c r="AG170" s="30"/>
      <c r="AH170" s="30"/>
      <c r="AI170" s="30"/>
      <c r="AJ170" s="32"/>
      <c r="AK170" s="32"/>
      <c r="AL170" s="32"/>
    </row>
    <row r="171" ht="14.25" customHeight="1">
      <c r="A171" s="23">
        <v>170.0</v>
      </c>
      <c r="B171" s="24" t="s">
        <v>30</v>
      </c>
      <c r="C171" s="25" t="s">
        <v>180</v>
      </c>
      <c r="D171" s="24">
        <v>0.0</v>
      </c>
      <c r="E171" s="24"/>
      <c r="F171" s="24">
        <v>0.0</v>
      </c>
      <c r="G171" s="24"/>
      <c r="H171" s="24"/>
      <c r="I171" s="24">
        <v>-3531.25</v>
      </c>
      <c r="J171" s="26">
        <v>59.4699999999998</v>
      </c>
      <c r="K171" s="26"/>
      <c r="L171" s="26"/>
      <c r="M171" s="26"/>
      <c r="N171" s="26">
        <v>6.0</v>
      </c>
      <c r="O171" s="36">
        <f t="shared" si="1"/>
        <v>100</v>
      </c>
      <c r="P171" s="36">
        <f t="shared" si="18"/>
        <v>159</v>
      </c>
      <c r="Q171" s="37">
        <f t="shared" si="19"/>
        <v>-3690</v>
      </c>
      <c r="R171" s="38">
        <f t="shared" si="4"/>
        <v>194811</v>
      </c>
      <c r="S171" s="39">
        <f t="shared" si="11"/>
        <v>-22267</v>
      </c>
      <c r="T171" s="30">
        <f t="shared" si="12"/>
        <v>1199</v>
      </c>
      <c r="U171" s="30">
        <f t="shared" si="13"/>
        <v>1458</v>
      </c>
      <c r="V171" s="30">
        <f t="shared" si="14"/>
        <v>599</v>
      </c>
      <c r="W171" s="30">
        <f t="shared" si="15"/>
        <v>41.1</v>
      </c>
      <c r="X171" s="31">
        <v>1200000.0</v>
      </c>
      <c r="Y171" s="30">
        <f t="shared" si="16"/>
        <v>1200000</v>
      </c>
      <c r="Z171" s="30">
        <f t="shared" si="17"/>
        <v>12</v>
      </c>
      <c r="AA171" s="30"/>
      <c r="AB171" s="30"/>
      <c r="AC171" s="30"/>
      <c r="AD171" s="30"/>
      <c r="AE171" s="30"/>
      <c r="AF171" s="30"/>
      <c r="AG171" s="30"/>
      <c r="AH171" s="30"/>
      <c r="AI171" s="30"/>
      <c r="AJ171" s="32"/>
      <c r="AK171" s="32"/>
      <c r="AL171" s="32"/>
    </row>
    <row r="172" ht="14.25" customHeight="1">
      <c r="A172" s="23">
        <v>171.0</v>
      </c>
      <c r="B172" s="24" t="s">
        <v>26</v>
      </c>
      <c r="C172" s="25" t="s">
        <v>181</v>
      </c>
      <c r="D172" s="24">
        <v>0.0</v>
      </c>
      <c r="E172" s="24"/>
      <c r="F172" s="24">
        <v>0.0</v>
      </c>
      <c r="G172" s="24"/>
      <c r="H172" s="24"/>
      <c r="I172" s="24">
        <v>7126.25</v>
      </c>
      <c r="J172" s="26">
        <v>133.03999999999996</v>
      </c>
      <c r="K172" s="26"/>
      <c r="L172" s="26"/>
      <c r="M172" s="26"/>
      <c r="N172" s="26">
        <v>6.0</v>
      </c>
      <c r="O172" s="36">
        <f t="shared" si="1"/>
        <v>100</v>
      </c>
      <c r="P172" s="36">
        <f t="shared" si="18"/>
        <v>233</v>
      </c>
      <c r="Q172" s="37">
        <f t="shared" si="19"/>
        <v>6893</v>
      </c>
      <c r="R172" s="38">
        <f t="shared" si="4"/>
        <v>201704</v>
      </c>
      <c r="S172" s="39">
        <f t="shared" si="11"/>
        <v>-15374</v>
      </c>
      <c r="T172" s="30">
        <f t="shared" si="12"/>
        <v>1257</v>
      </c>
      <c r="U172" s="30">
        <f t="shared" si="13"/>
        <v>1374</v>
      </c>
      <c r="V172" s="30">
        <f t="shared" si="14"/>
        <v>596</v>
      </c>
      <c r="W172" s="30">
        <f t="shared" si="15"/>
        <v>43.4</v>
      </c>
      <c r="X172" s="31">
        <v>1200000.0</v>
      </c>
      <c r="Y172" s="30">
        <f t="shared" si="16"/>
        <v>1200000</v>
      </c>
      <c r="Z172" s="30">
        <f t="shared" si="17"/>
        <v>11</v>
      </c>
      <c r="AA172" s="30"/>
      <c r="AB172" s="30"/>
      <c r="AC172" s="30"/>
      <c r="AD172" s="30"/>
      <c r="AE172" s="30"/>
      <c r="AF172" s="30"/>
      <c r="AG172" s="30"/>
      <c r="AH172" s="30"/>
      <c r="AI172" s="30"/>
      <c r="AJ172" s="32"/>
      <c r="AK172" s="32"/>
      <c r="AL172" s="32"/>
    </row>
    <row r="173" ht="14.25" customHeight="1">
      <c r="A173" s="23">
        <v>172.0</v>
      </c>
      <c r="B173" s="24" t="s">
        <v>27</v>
      </c>
      <c r="C173" s="25" t="s">
        <v>182</v>
      </c>
      <c r="D173" s="24">
        <v>0.0</v>
      </c>
      <c r="E173" s="24"/>
      <c r="F173" s="24">
        <v>0.0</v>
      </c>
      <c r="G173" s="24"/>
      <c r="H173" s="24"/>
      <c r="I173" s="24">
        <v>3230.0</v>
      </c>
      <c r="J173" s="26">
        <v>60.210000000000036</v>
      </c>
      <c r="K173" s="26"/>
      <c r="L173" s="26"/>
      <c r="M173" s="26"/>
      <c r="N173" s="26">
        <v>6.0</v>
      </c>
      <c r="O173" s="36">
        <f t="shared" si="1"/>
        <v>100</v>
      </c>
      <c r="P173" s="36">
        <f t="shared" si="18"/>
        <v>160</v>
      </c>
      <c r="Q173" s="37">
        <f t="shared" si="19"/>
        <v>3070</v>
      </c>
      <c r="R173" s="38">
        <f t="shared" si="4"/>
        <v>204774</v>
      </c>
      <c r="S173" s="39">
        <f t="shared" si="11"/>
        <v>-12304</v>
      </c>
      <c r="T173" s="30">
        <f t="shared" si="12"/>
        <v>1162</v>
      </c>
      <c r="U173" s="30">
        <f t="shared" si="13"/>
        <v>1385</v>
      </c>
      <c r="V173" s="30">
        <f t="shared" si="14"/>
        <v>595</v>
      </c>
      <c r="W173" s="30">
        <f t="shared" si="15"/>
        <v>43</v>
      </c>
      <c r="X173" s="31">
        <v>1200000.0</v>
      </c>
      <c r="Y173" s="30">
        <f t="shared" si="16"/>
        <v>1200000</v>
      </c>
      <c r="Z173" s="30">
        <f t="shared" si="17"/>
        <v>12</v>
      </c>
      <c r="AA173" s="30"/>
      <c r="AB173" s="30"/>
      <c r="AC173" s="30"/>
      <c r="AD173" s="30"/>
      <c r="AE173" s="30"/>
      <c r="AF173" s="30"/>
      <c r="AG173" s="30"/>
      <c r="AH173" s="30"/>
      <c r="AI173" s="30"/>
      <c r="AJ173" s="32"/>
      <c r="AK173" s="32"/>
      <c r="AL173" s="32"/>
    </row>
    <row r="174" ht="14.25" customHeight="1">
      <c r="A174" s="23">
        <v>173.0</v>
      </c>
      <c r="B174" s="24" t="s">
        <v>28</v>
      </c>
      <c r="C174" s="25" t="s">
        <v>183</v>
      </c>
      <c r="D174" s="24">
        <v>0.0</v>
      </c>
      <c r="E174" s="24"/>
      <c r="F174" s="24">
        <v>0.0</v>
      </c>
      <c r="G174" s="24"/>
      <c r="H174" s="24"/>
      <c r="I174" s="24">
        <v>376.0</v>
      </c>
      <c r="J174" s="26">
        <v>362.44</v>
      </c>
      <c r="K174" s="26"/>
      <c r="L174" s="26"/>
      <c r="M174" s="26"/>
      <c r="N174" s="26">
        <v>6.0</v>
      </c>
      <c r="O174" s="36">
        <f t="shared" si="1"/>
        <v>100</v>
      </c>
      <c r="P174" s="36">
        <f t="shared" si="18"/>
        <v>462</v>
      </c>
      <c r="Q174" s="37">
        <f t="shared" si="19"/>
        <v>-86</v>
      </c>
      <c r="R174" s="38">
        <f t="shared" si="4"/>
        <v>204688</v>
      </c>
      <c r="S174" s="39">
        <f t="shared" si="11"/>
        <v>-12390</v>
      </c>
      <c r="T174" s="30">
        <f t="shared" si="12"/>
        <v>1161</v>
      </c>
      <c r="U174" s="30">
        <f t="shared" si="13"/>
        <v>1354</v>
      </c>
      <c r="V174" s="30">
        <f t="shared" si="14"/>
        <v>595</v>
      </c>
      <c r="W174" s="30">
        <f t="shared" si="15"/>
        <v>43.9</v>
      </c>
      <c r="X174" s="31">
        <v>1200000.0</v>
      </c>
      <c r="Y174" s="30">
        <f t="shared" si="16"/>
        <v>1200000</v>
      </c>
      <c r="Z174" s="30">
        <f t="shared" si="17"/>
        <v>11</v>
      </c>
      <c r="AA174" s="30"/>
      <c r="AB174" s="30"/>
      <c r="AC174" s="30"/>
      <c r="AD174" s="30"/>
      <c r="AE174" s="30"/>
      <c r="AF174" s="30"/>
      <c r="AG174" s="30"/>
      <c r="AH174" s="30"/>
      <c r="AI174" s="30"/>
      <c r="AJ174" s="32"/>
      <c r="AK174" s="32"/>
      <c r="AL174" s="32"/>
    </row>
    <row r="175" ht="14.25" customHeight="1">
      <c r="A175" s="23">
        <v>174.0</v>
      </c>
      <c r="B175" s="24" t="s">
        <v>29</v>
      </c>
      <c r="C175" s="25" t="s">
        <v>184</v>
      </c>
      <c r="D175" s="24">
        <v>0.0</v>
      </c>
      <c r="E175" s="24"/>
      <c r="F175" s="24">
        <v>0.0</v>
      </c>
      <c r="G175" s="24"/>
      <c r="H175" s="24"/>
      <c r="I175" s="24">
        <v>303.0</v>
      </c>
      <c r="J175" s="26">
        <v>451.36</v>
      </c>
      <c r="K175" s="26"/>
      <c r="L175" s="26"/>
      <c r="M175" s="26"/>
      <c r="N175" s="26">
        <v>6.0</v>
      </c>
      <c r="O175" s="36">
        <f t="shared" si="1"/>
        <v>100</v>
      </c>
      <c r="P175" s="36">
        <f t="shared" si="18"/>
        <v>551</v>
      </c>
      <c r="Q175" s="37">
        <f t="shared" si="19"/>
        <v>-248</v>
      </c>
      <c r="R175" s="38">
        <f t="shared" si="4"/>
        <v>204440</v>
      </c>
      <c r="S175" s="39">
        <f t="shared" si="11"/>
        <v>-12638</v>
      </c>
      <c r="T175" s="30">
        <f t="shared" si="12"/>
        <v>1107</v>
      </c>
      <c r="U175" s="30">
        <f t="shared" si="13"/>
        <v>1402</v>
      </c>
      <c r="V175" s="30">
        <f t="shared" si="14"/>
        <v>596</v>
      </c>
      <c r="W175" s="30">
        <f t="shared" si="15"/>
        <v>42.5</v>
      </c>
      <c r="X175" s="31">
        <v>1200000.0</v>
      </c>
      <c r="Y175" s="30">
        <f t="shared" si="16"/>
        <v>1200000</v>
      </c>
      <c r="Z175" s="30">
        <f t="shared" si="17"/>
        <v>12</v>
      </c>
      <c r="AA175" s="30"/>
      <c r="AB175" s="30"/>
      <c r="AC175" s="30"/>
      <c r="AD175" s="30"/>
      <c r="AE175" s="30"/>
      <c r="AF175" s="30"/>
      <c r="AG175" s="30"/>
      <c r="AH175" s="30"/>
      <c r="AI175" s="30"/>
      <c r="AJ175" s="32"/>
      <c r="AK175" s="32"/>
      <c r="AL175" s="32"/>
    </row>
    <row r="176" ht="14.25" customHeight="1">
      <c r="A176" s="23">
        <v>175.0</v>
      </c>
      <c r="B176" s="24" t="s">
        <v>30</v>
      </c>
      <c r="C176" s="25" t="s">
        <v>185</v>
      </c>
      <c r="D176" s="24">
        <v>0.0</v>
      </c>
      <c r="E176" s="24"/>
      <c r="F176" s="24">
        <v>0.0</v>
      </c>
      <c r="G176" s="24"/>
      <c r="H176" s="24"/>
      <c r="I176" s="24">
        <v>83.75</v>
      </c>
      <c r="J176" s="26">
        <v>39.12</v>
      </c>
      <c r="K176" s="26"/>
      <c r="L176" s="26"/>
      <c r="M176" s="26"/>
      <c r="N176" s="26">
        <v>6.0</v>
      </c>
      <c r="O176" s="36">
        <f t="shared" si="1"/>
        <v>100</v>
      </c>
      <c r="P176" s="36">
        <f t="shared" si="18"/>
        <v>139</v>
      </c>
      <c r="Q176" s="37">
        <f t="shared" si="19"/>
        <v>-55</v>
      </c>
      <c r="R176" s="38">
        <f t="shared" si="4"/>
        <v>204385</v>
      </c>
      <c r="S176" s="39">
        <f t="shared" si="11"/>
        <v>-12693</v>
      </c>
      <c r="T176" s="30">
        <f t="shared" si="12"/>
        <v>977</v>
      </c>
      <c r="U176" s="30">
        <f t="shared" si="13"/>
        <v>1389</v>
      </c>
      <c r="V176" s="30">
        <f t="shared" si="14"/>
        <v>595</v>
      </c>
      <c r="W176" s="30">
        <f t="shared" si="15"/>
        <v>42.8</v>
      </c>
      <c r="X176" s="31">
        <v>1200000.0</v>
      </c>
      <c r="Y176" s="30">
        <f t="shared" si="16"/>
        <v>1200000</v>
      </c>
      <c r="Z176" s="30">
        <f t="shared" si="17"/>
        <v>12</v>
      </c>
      <c r="AA176" s="30"/>
      <c r="AB176" s="30"/>
      <c r="AC176" s="30"/>
      <c r="AD176" s="30"/>
      <c r="AE176" s="30"/>
      <c r="AF176" s="30"/>
      <c r="AG176" s="30"/>
      <c r="AH176" s="30"/>
      <c r="AI176" s="30"/>
      <c r="AJ176" s="32"/>
      <c r="AK176" s="32"/>
      <c r="AL176" s="32"/>
    </row>
    <row r="177" ht="14.25" customHeight="1">
      <c r="A177" s="23">
        <v>176.0</v>
      </c>
      <c r="B177" s="24" t="s">
        <v>26</v>
      </c>
      <c r="C177" s="25" t="s">
        <v>186</v>
      </c>
      <c r="D177" s="24">
        <v>0.0</v>
      </c>
      <c r="E177" s="24"/>
      <c r="F177" s="24">
        <v>0.0</v>
      </c>
      <c r="G177" s="24"/>
      <c r="H177" s="24"/>
      <c r="I177" s="24">
        <v>7681.25</v>
      </c>
      <c r="J177" s="26">
        <v>558.5100000000002</v>
      </c>
      <c r="K177" s="26"/>
      <c r="L177" s="26"/>
      <c r="M177" s="26"/>
      <c r="N177" s="26">
        <v>6.0</v>
      </c>
      <c r="O177" s="36">
        <f t="shared" si="1"/>
        <v>100</v>
      </c>
      <c r="P177" s="36">
        <f t="shared" si="18"/>
        <v>659</v>
      </c>
      <c r="Q177" s="37">
        <f t="shared" si="19"/>
        <v>7022</v>
      </c>
      <c r="R177" s="38">
        <f t="shared" si="4"/>
        <v>211407</v>
      </c>
      <c r="S177" s="39">
        <f t="shared" si="11"/>
        <v>-5671</v>
      </c>
      <c r="T177" s="30">
        <f t="shared" si="12"/>
        <v>1106</v>
      </c>
      <c r="U177" s="30">
        <f t="shared" si="13"/>
        <v>1377</v>
      </c>
      <c r="V177" s="30">
        <f t="shared" si="14"/>
        <v>595</v>
      </c>
      <c r="W177" s="30">
        <f t="shared" si="15"/>
        <v>43.2</v>
      </c>
      <c r="X177" s="31">
        <v>1200000.0</v>
      </c>
      <c r="Y177" s="30">
        <f t="shared" si="16"/>
        <v>1200000</v>
      </c>
      <c r="Z177" s="30">
        <f t="shared" si="17"/>
        <v>11</v>
      </c>
      <c r="AA177" s="30"/>
      <c r="AB177" s="30"/>
      <c r="AC177" s="30"/>
      <c r="AD177" s="30"/>
      <c r="AE177" s="30"/>
      <c r="AF177" s="30"/>
      <c r="AG177" s="30"/>
      <c r="AH177" s="30"/>
      <c r="AI177" s="30"/>
      <c r="AJ177" s="32"/>
      <c r="AK177" s="32"/>
      <c r="AL177" s="32"/>
    </row>
    <row r="178" ht="14.25" customHeight="1">
      <c r="A178" s="23">
        <v>177.0</v>
      </c>
      <c r="B178" s="24" t="s">
        <v>27</v>
      </c>
      <c r="C178" s="25" t="s">
        <v>187</v>
      </c>
      <c r="D178" s="24">
        <v>0.0</v>
      </c>
      <c r="E178" s="24"/>
      <c r="F178" s="24">
        <v>0.0</v>
      </c>
      <c r="G178" s="24"/>
      <c r="H178" s="24"/>
      <c r="I178" s="24">
        <v>-3052.5</v>
      </c>
      <c r="J178" s="26">
        <v>337.42999999999984</v>
      </c>
      <c r="K178" s="26"/>
      <c r="L178" s="26"/>
      <c r="M178" s="26"/>
      <c r="N178" s="26">
        <v>6.0</v>
      </c>
      <c r="O178" s="36">
        <f t="shared" si="1"/>
        <v>100</v>
      </c>
      <c r="P178" s="36">
        <f t="shared" si="18"/>
        <v>437</v>
      </c>
      <c r="Q178" s="37">
        <f t="shared" si="19"/>
        <v>-3490</v>
      </c>
      <c r="R178" s="38">
        <f t="shared" si="4"/>
        <v>207917</v>
      </c>
      <c r="S178" s="39">
        <f t="shared" si="11"/>
        <v>-9161</v>
      </c>
      <c r="T178" s="30">
        <f t="shared" si="12"/>
        <v>953</v>
      </c>
      <c r="U178" s="30">
        <f t="shared" si="13"/>
        <v>1353</v>
      </c>
      <c r="V178" s="30">
        <f t="shared" si="14"/>
        <v>597</v>
      </c>
      <c r="W178" s="30">
        <f t="shared" si="15"/>
        <v>44.1</v>
      </c>
      <c r="X178" s="31">
        <v>1200000.0</v>
      </c>
      <c r="Y178" s="30">
        <f t="shared" si="16"/>
        <v>1200000</v>
      </c>
      <c r="Z178" s="30">
        <f t="shared" si="17"/>
        <v>11</v>
      </c>
      <c r="AA178" s="30"/>
      <c r="AB178" s="30"/>
      <c r="AC178" s="30"/>
      <c r="AD178" s="30"/>
      <c r="AE178" s="30"/>
      <c r="AF178" s="30"/>
      <c r="AG178" s="30"/>
      <c r="AH178" s="30"/>
      <c r="AI178" s="30"/>
      <c r="AJ178" s="32"/>
      <c r="AK178" s="32"/>
      <c r="AL178" s="32"/>
    </row>
    <row r="179" ht="14.25" customHeight="1">
      <c r="A179" s="23">
        <v>178.0</v>
      </c>
      <c r="B179" s="24" t="s">
        <v>28</v>
      </c>
      <c r="C179" s="25" t="s">
        <v>188</v>
      </c>
      <c r="D179" s="24">
        <v>0.0</v>
      </c>
      <c r="E179" s="24"/>
      <c r="F179" s="24">
        <v>0.0</v>
      </c>
      <c r="G179" s="24"/>
      <c r="H179" s="24"/>
      <c r="I179" s="24">
        <v>-566.0</v>
      </c>
      <c r="J179" s="26">
        <v>164.13</v>
      </c>
      <c r="K179" s="26"/>
      <c r="L179" s="26"/>
      <c r="M179" s="26"/>
      <c r="N179" s="26">
        <v>6.0</v>
      </c>
      <c r="O179" s="36">
        <f t="shared" si="1"/>
        <v>100</v>
      </c>
      <c r="P179" s="36">
        <f t="shared" si="18"/>
        <v>264</v>
      </c>
      <c r="Q179" s="37">
        <f t="shared" si="19"/>
        <v>-830</v>
      </c>
      <c r="R179" s="38">
        <f t="shared" si="4"/>
        <v>207087</v>
      </c>
      <c r="S179" s="39">
        <f t="shared" si="11"/>
        <v>-9991</v>
      </c>
      <c r="T179" s="30">
        <f t="shared" si="12"/>
        <v>934</v>
      </c>
      <c r="U179" s="30">
        <f t="shared" si="13"/>
        <v>1242</v>
      </c>
      <c r="V179" s="30">
        <f t="shared" si="14"/>
        <v>596</v>
      </c>
      <c r="W179" s="30">
        <f t="shared" si="15"/>
        <v>48</v>
      </c>
      <c r="X179" s="31">
        <v>1200000.0</v>
      </c>
      <c r="Y179" s="30">
        <f t="shared" si="16"/>
        <v>1200000</v>
      </c>
      <c r="Z179" s="30">
        <f t="shared" si="17"/>
        <v>10</v>
      </c>
      <c r="AA179" s="30"/>
      <c r="AB179" s="30"/>
      <c r="AC179" s="30"/>
      <c r="AD179" s="30"/>
      <c r="AE179" s="30"/>
      <c r="AF179" s="30"/>
      <c r="AG179" s="30"/>
      <c r="AH179" s="30"/>
      <c r="AI179" s="30"/>
      <c r="AJ179" s="32"/>
      <c r="AK179" s="32"/>
      <c r="AL179" s="32"/>
    </row>
    <row r="180" ht="14.25" customHeight="1">
      <c r="A180" s="23">
        <v>179.0</v>
      </c>
      <c r="B180" s="24" t="s">
        <v>29</v>
      </c>
      <c r="C180" s="25" t="s">
        <v>189</v>
      </c>
      <c r="D180" s="24">
        <v>0.0</v>
      </c>
      <c r="E180" s="24"/>
      <c r="F180" s="24">
        <v>0.0</v>
      </c>
      <c r="G180" s="24"/>
      <c r="H180" s="24"/>
      <c r="I180" s="24">
        <v>8458.75</v>
      </c>
      <c r="J180" s="26">
        <v>152.60000000000036</v>
      </c>
      <c r="K180" s="26"/>
      <c r="L180" s="26"/>
      <c r="M180" s="26"/>
      <c r="N180" s="26">
        <v>6.0</v>
      </c>
      <c r="O180" s="36">
        <f t="shared" si="1"/>
        <v>100</v>
      </c>
      <c r="P180" s="36">
        <f t="shared" si="18"/>
        <v>253</v>
      </c>
      <c r="Q180" s="37">
        <f t="shared" si="19"/>
        <v>8206</v>
      </c>
      <c r="R180" s="38">
        <f t="shared" si="4"/>
        <v>215293</v>
      </c>
      <c r="S180" s="39">
        <f t="shared" si="11"/>
        <v>-1785</v>
      </c>
      <c r="T180" s="30">
        <f t="shared" si="12"/>
        <v>950</v>
      </c>
      <c r="U180" s="30">
        <f t="shared" si="13"/>
        <v>1291</v>
      </c>
      <c r="V180" s="30">
        <f t="shared" si="14"/>
        <v>593</v>
      </c>
      <c r="W180" s="30">
        <f t="shared" si="15"/>
        <v>45.9</v>
      </c>
      <c r="X180" s="31">
        <v>1200000.0</v>
      </c>
      <c r="Y180" s="30">
        <f t="shared" si="16"/>
        <v>1200000</v>
      </c>
      <c r="Z180" s="30">
        <f t="shared" si="17"/>
        <v>11</v>
      </c>
      <c r="AA180" s="30"/>
      <c r="AB180" s="30"/>
      <c r="AC180" s="30"/>
      <c r="AD180" s="30"/>
      <c r="AE180" s="30"/>
      <c r="AF180" s="30"/>
      <c r="AG180" s="30"/>
      <c r="AH180" s="30"/>
      <c r="AI180" s="30"/>
      <c r="AJ180" s="32"/>
      <c r="AK180" s="32"/>
      <c r="AL180" s="32"/>
    </row>
    <row r="181" ht="14.25" customHeight="1">
      <c r="A181" s="23">
        <v>180.0</v>
      </c>
      <c r="B181" s="24" t="s">
        <v>30</v>
      </c>
      <c r="C181" s="25" t="s">
        <v>190</v>
      </c>
      <c r="D181" s="24">
        <v>0.0</v>
      </c>
      <c r="E181" s="24"/>
      <c r="F181" s="24">
        <v>0.0</v>
      </c>
      <c r="G181" s="24"/>
      <c r="H181" s="24"/>
      <c r="I181" s="24">
        <v>3450.0</v>
      </c>
      <c r="J181" s="26">
        <v>49.2199999999998</v>
      </c>
      <c r="K181" s="26"/>
      <c r="L181" s="26"/>
      <c r="M181" s="26"/>
      <c r="N181" s="26">
        <v>6.0</v>
      </c>
      <c r="O181" s="36">
        <f t="shared" si="1"/>
        <v>100</v>
      </c>
      <c r="P181" s="36">
        <f t="shared" si="18"/>
        <v>149</v>
      </c>
      <c r="Q181" s="37">
        <f t="shared" si="19"/>
        <v>3301</v>
      </c>
      <c r="R181" s="38">
        <f t="shared" si="4"/>
        <v>218594</v>
      </c>
      <c r="S181" s="39">
        <f t="shared" si="11"/>
        <v>0</v>
      </c>
      <c r="T181" s="30">
        <f t="shared" si="12"/>
        <v>688</v>
      </c>
      <c r="U181" s="30">
        <f t="shared" si="13"/>
        <v>1306</v>
      </c>
      <c r="V181" s="30">
        <f t="shared" si="14"/>
        <v>591</v>
      </c>
      <c r="W181" s="30">
        <f t="shared" si="15"/>
        <v>45.3</v>
      </c>
      <c r="X181" s="31">
        <v>1200000.0</v>
      </c>
      <c r="Y181" s="30">
        <f t="shared" si="16"/>
        <v>1200000</v>
      </c>
      <c r="Z181" s="30">
        <f t="shared" si="17"/>
        <v>11</v>
      </c>
      <c r="AA181" s="30"/>
      <c r="AB181" s="30"/>
      <c r="AC181" s="30"/>
      <c r="AD181" s="30"/>
      <c r="AE181" s="30"/>
      <c r="AF181" s="30"/>
      <c r="AG181" s="30"/>
      <c r="AH181" s="30"/>
      <c r="AI181" s="30"/>
      <c r="AJ181" s="32"/>
      <c r="AK181" s="32"/>
      <c r="AL181" s="32"/>
    </row>
    <row r="182" ht="14.25" customHeight="1">
      <c r="A182" s="23">
        <v>181.0</v>
      </c>
      <c r="B182" s="24" t="s">
        <v>26</v>
      </c>
      <c r="C182" s="25" t="s">
        <v>191</v>
      </c>
      <c r="D182" s="24">
        <v>0.0</v>
      </c>
      <c r="E182" s="24"/>
      <c r="F182" s="24">
        <v>0.0</v>
      </c>
      <c r="G182" s="24"/>
      <c r="H182" s="24"/>
      <c r="I182" s="24">
        <v>5283.75</v>
      </c>
      <c r="J182" s="26">
        <v>99.73999999999978</v>
      </c>
      <c r="K182" s="26"/>
      <c r="L182" s="26"/>
      <c r="M182" s="26"/>
      <c r="N182" s="26">
        <v>6.0</v>
      </c>
      <c r="O182" s="36">
        <f t="shared" si="1"/>
        <v>100</v>
      </c>
      <c r="P182" s="36">
        <f t="shared" si="18"/>
        <v>200</v>
      </c>
      <c r="Q182" s="37">
        <f t="shared" si="19"/>
        <v>5084</v>
      </c>
      <c r="R182" s="38">
        <f t="shared" si="4"/>
        <v>223678</v>
      </c>
      <c r="S182" s="39">
        <f t="shared" si="11"/>
        <v>0</v>
      </c>
      <c r="T182" s="30">
        <f t="shared" si="12"/>
        <v>712</v>
      </c>
      <c r="U182" s="30">
        <f t="shared" si="13"/>
        <v>1257</v>
      </c>
      <c r="V182" s="30">
        <f t="shared" si="14"/>
        <v>587</v>
      </c>
      <c r="W182" s="30">
        <f t="shared" si="15"/>
        <v>46.7</v>
      </c>
      <c r="X182" s="31">
        <v>1200000.0</v>
      </c>
      <c r="Y182" s="30">
        <f t="shared" si="16"/>
        <v>1200000</v>
      </c>
      <c r="Z182" s="30">
        <f t="shared" si="17"/>
        <v>10</v>
      </c>
      <c r="AA182" s="30"/>
      <c r="AB182" s="30"/>
      <c r="AC182" s="30"/>
      <c r="AD182" s="30"/>
      <c r="AE182" s="30"/>
      <c r="AF182" s="30"/>
      <c r="AG182" s="30"/>
      <c r="AH182" s="30"/>
      <c r="AI182" s="30"/>
      <c r="AJ182" s="32"/>
      <c r="AK182" s="32"/>
      <c r="AL182" s="32"/>
    </row>
    <row r="183" ht="14.25" customHeight="1">
      <c r="A183" s="23">
        <v>182.0</v>
      </c>
      <c r="B183" s="24" t="s">
        <v>27</v>
      </c>
      <c r="C183" s="25" t="s">
        <v>192</v>
      </c>
      <c r="D183" s="24">
        <v>0.0</v>
      </c>
      <c r="E183" s="24"/>
      <c r="F183" s="24">
        <v>0.0</v>
      </c>
      <c r="G183" s="24"/>
      <c r="H183" s="24"/>
      <c r="I183" s="24">
        <v>2402.5</v>
      </c>
      <c r="J183" s="26">
        <v>48.0300000000002</v>
      </c>
      <c r="K183" s="26"/>
      <c r="L183" s="26"/>
      <c r="M183" s="26"/>
      <c r="N183" s="26">
        <v>6.0</v>
      </c>
      <c r="O183" s="36">
        <f t="shared" si="1"/>
        <v>100</v>
      </c>
      <c r="P183" s="36">
        <f t="shared" si="18"/>
        <v>148</v>
      </c>
      <c r="Q183" s="37">
        <f t="shared" si="19"/>
        <v>2255</v>
      </c>
      <c r="R183" s="38">
        <f t="shared" si="4"/>
        <v>225933</v>
      </c>
      <c r="S183" s="39">
        <f t="shared" si="11"/>
        <v>0</v>
      </c>
      <c r="T183" s="30">
        <f t="shared" si="12"/>
        <v>724</v>
      </c>
      <c r="U183" s="30">
        <f t="shared" si="13"/>
        <v>1331</v>
      </c>
      <c r="V183" s="30">
        <f t="shared" si="14"/>
        <v>584</v>
      </c>
      <c r="W183" s="30">
        <f t="shared" si="15"/>
        <v>43.9</v>
      </c>
      <c r="X183" s="31">
        <v>1200000.0</v>
      </c>
      <c r="Y183" s="30">
        <f t="shared" si="16"/>
        <v>1200000</v>
      </c>
      <c r="Z183" s="30">
        <f t="shared" si="17"/>
        <v>11</v>
      </c>
      <c r="AA183" s="30"/>
      <c r="AB183" s="30"/>
      <c r="AC183" s="30"/>
      <c r="AD183" s="30"/>
      <c r="AE183" s="30"/>
      <c r="AF183" s="30"/>
      <c r="AG183" s="30"/>
      <c r="AH183" s="30"/>
      <c r="AI183" s="30"/>
      <c r="AJ183" s="32"/>
      <c r="AK183" s="32"/>
      <c r="AL183" s="32"/>
    </row>
    <row r="184" ht="14.25" customHeight="1">
      <c r="A184" s="23">
        <v>183.0</v>
      </c>
      <c r="B184" s="24" t="s">
        <v>28</v>
      </c>
      <c r="C184" s="25" t="s">
        <v>193</v>
      </c>
      <c r="D184" s="24">
        <v>0.0</v>
      </c>
      <c r="E184" s="24"/>
      <c r="F184" s="24">
        <v>0.0</v>
      </c>
      <c r="G184" s="24"/>
      <c r="H184" s="24"/>
      <c r="I184" s="24">
        <v>8934.0</v>
      </c>
      <c r="J184" s="26">
        <v>97.38999999999942</v>
      </c>
      <c r="K184" s="26"/>
      <c r="L184" s="26"/>
      <c r="M184" s="26"/>
      <c r="N184" s="26">
        <v>6.0</v>
      </c>
      <c r="O184" s="36">
        <f t="shared" si="1"/>
        <v>100</v>
      </c>
      <c r="P184" s="36">
        <f t="shared" si="18"/>
        <v>197</v>
      </c>
      <c r="Q184" s="37">
        <f t="shared" si="19"/>
        <v>8737</v>
      </c>
      <c r="R184" s="38">
        <f t="shared" si="4"/>
        <v>234670</v>
      </c>
      <c r="S184" s="39">
        <f t="shared" si="11"/>
        <v>0</v>
      </c>
      <c r="T184" s="30">
        <f t="shared" si="12"/>
        <v>956</v>
      </c>
      <c r="U184" s="30">
        <f t="shared" si="13"/>
        <v>1343</v>
      </c>
      <c r="V184" s="30">
        <f t="shared" si="14"/>
        <v>579</v>
      </c>
      <c r="W184" s="30">
        <f t="shared" si="15"/>
        <v>43.1</v>
      </c>
      <c r="X184" s="31">
        <v>1200000.0</v>
      </c>
      <c r="Y184" s="30">
        <f t="shared" si="16"/>
        <v>1200000</v>
      </c>
      <c r="Z184" s="30">
        <f t="shared" si="17"/>
        <v>11</v>
      </c>
      <c r="AA184" s="30"/>
      <c r="AB184" s="30"/>
      <c r="AC184" s="30"/>
      <c r="AD184" s="30"/>
      <c r="AE184" s="30"/>
      <c r="AF184" s="30"/>
      <c r="AG184" s="30"/>
      <c r="AH184" s="30"/>
      <c r="AI184" s="30"/>
      <c r="AJ184" s="32"/>
      <c r="AK184" s="32"/>
      <c r="AL184" s="32"/>
    </row>
    <row r="185" ht="14.25" customHeight="1">
      <c r="A185" s="23">
        <v>184.0</v>
      </c>
      <c r="B185" s="24" t="s">
        <v>29</v>
      </c>
      <c r="C185" s="25" t="s">
        <v>194</v>
      </c>
      <c r="D185" s="24">
        <v>0.0</v>
      </c>
      <c r="E185" s="24"/>
      <c r="F185" s="24">
        <v>0.0</v>
      </c>
      <c r="G185" s="24"/>
      <c r="H185" s="24"/>
      <c r="I185" s="24">
        <v>2233.75</v>
      </c>
      <c r="J185" s="26">
        <v>97.2800000000002</v>
      </c>
      <c r="K185" s="26"/>
      <c r="L185" s="26"/>
      <c r="M185" s="26"/>
      <c r="N185" s="26">
        <v>6.0</v>
      </c>
      <c r="O185" s="36">
        <f t="shared" si="1"/>
        <v>100</v>
      </c>
      <c r="P185" s="36">
        <f t="shared" si="18"/>
        <v>197</v>
      </c>
      <c r="Q185" s="37">
        <f t="shared" si="19"/>
        <v>2037</v>
      </c>
      <c r="R185" s="38">
        <f t="shared" si="4"/>
        <v>236707</v>
      </c>
      <c r="S185" s="39">
        <f t="shared" si="11"/>
        <v>0</v>
      </c>
      <c r="T185" s="30">
        <f t="shared" si="12"/>
        <v>1115</v>
      </c>
      <c r="U185" s="30">
        <f t="shared" si="13"/>
        <v>1429</v>
      </c>
      <c r="V185" s="30">
        <f t="shared" si="14"/>
        <v>571</v>
      </c>
      <c r="W185" s="30">
        <f t="shared" si="15"/>
        <v>40</v>
      </c>
      <c r="X185" s="31">
        <v>1200000.0</v>
      </c>
      <c r="Y185" s="30">
        <f t="shared" si="16"/>
        <v>1200000</v>
      </c>
      <c r="Z185" s="30">
        <f t="shared" si="17"/>
        <v>12</v>
      </c>
      <c r="AA185" s="30"/>
      <c r="AB185" s="30"/>
      <c r="AC185" s="30"/>
      <c r="AD185" s="30"/>
      <c r="AE185" s="30"/>
      <c r="AF185" s="30"/>
      <c r="AG185" s="30"/>
      <c r="AH185" s="30"/>
      <c r="AI185" s="30"/>
      <c r="AJ185" s="32"/>
      <c r="AK185" s="32"/>
      <c r="AL185" s="32"/>
    </row>
    <row r="186" ht="14.25" customHeight="1">
      <c r="A186" s="23">
        <v>185.0</v>
      </c>
      <c r="B186" s="24" t="s">
        <v>30</v>
      </c>
      <c r="C186" s="25" t="s">
        <v>195</v>
      </c>
      <c r="D186" s="24">
        <v>0.0</v>
      </c>
      <c r="E186" s="24"/>
      <c r="F186" s="24">
        <v>0.0</v>
      </c>
      <c r="G186" s="24"/>
      <c r="H186" s="24"/>
      <c r="I186" s="24">
        <v>4998.75</v>
      </c>
      <c r="J186" s="26">
        <v>45.31999999999971</v>
      </c>
      <c r="K186" s="26"/>
      <c r="L186" s="26"/>
      <c r="M186" s="26"/>
      <c r="N186" s="26">
        <v>6.0</v>
      </c>
      <c r="O186" s="36">
        <f t="shared" si="1"/>
        <v>100</v>
      </c>
      <c r="P186" s="36">
        <f t="shared" si="18"/>
        <v>145</v>
      </c>
      <c r="Q186" s="37">
        <f t="shared" si="19"/>
        <v>4854</v>
      </c>
      <c r="R186" s="38">
        <f t="shared" si="4"/>
        <v>241561</v>
      </c>
      <c r="S186" s="39">
        <f t="shared" si="11"/>
        <v>0</v>
      </c>
      <c r="T186" s="30">
        <f t="shared" si="12"/>
        <v>1161</v>
      </c>
      <c r="U186" s="30">
        <f t="shared" si="13"/>
        <v>1445</v>
      </c>
      <c r="V186" s="30">
        <f t="shared" si="14"/>
        <v>566</v>
      </c>
      <c r="W186" s="30">
        <f t="shared" si="15"/>
        <v>39.2</v>
      </c>
      <c r="X186" s="31">
        <v>1200000.0</v>
      </c>
      <c r="Y186" s="30">
        <f t="shared" si="16"/>
        <v>1200000</v>
      </c>
      <c r="Z186" s="30">
        <f t="shared" si="17"/>
        <v>12</v>
      </c>
      <c r="AA186" s="30"/>
      <c r="AB186" s="30"/>
      <c r="AC186" s="30"/>
      <c r="AD186" s="30"/>
      <c r="AE186" s="30"/>
      <c r="AF186" s="30"/>
      <c r="AG186" s="30"/>
      <c r="AH186" s="30"/>
      <c r="AI186" s="30"/>
      <c r="AJ186" s="32"/>
      <c r="AK186" s="32"/>
      <c r="AL186" s="32"/>
    </row>
    <row r="187" ht="14.25" customHeight="1">
      <c r="A187" s="23">
        <v>186.0</v>
      </c>
      <c r="B187" s="24" t="s">
        <v>26</v>
      </c>
      <c r="C187" s="25" t="s">
        <v>196</v>
      </c>
      <c r="D187" s="24">
        <v>0.0</v>
      </c>
      <c r="E187" s="24"/>
      <c r="F187" s="24">
        <v>0.0</v>
      </c>
      <c r="G187" s="24"/>
      <c r="H187" s="24"/>
      <c r="I187" s="24">
        <v>7288.75</v>
      </c>
      <c r="J187" s="26">
        <v>168.97000000000025</v>
      </c>
      <c r="K187" s="26"/>
      <c r="L187" s="26"/>
      <c r="M187" s="26"/>
      <c r="N187" s="26">
        <v>6.0</v>
      </c>
      <c r="O187" s="36">
        <f t="shared" si="1"/>
        <v>100</v>
      </c>
      <c r="P187" s="36">
        <f t="shared" si="18"/>
        <v>269</v>
      </c>
      <c r="Q187" s="37">
        <f t="shared" si="19"/>
        <v>7020</v>
      </c>
      <c r="R187" s="38">
        <f t="shared" si="4"/>
        <v>248581</v>
      </c>
      <c r="S187" s="39">
        <f t="shared" si="11"/>
        <v>0</v>
      </c>
      <c r="T187" s="30">
        <f t="shared" si="12"/>
        <v>1171</v>
      </c>
      <c r="U187" s="30">
        <f t="shared" si="13"/>
        <v>1558</v>
      </c>
      <c r="V187" s="30">
        <f t="shared" si="14"/>
        <v>555</v>
      </c>
      <c r="W187" s="30">
        <f t="shared" si="15"/>
        <v>35.6</v>
      </c>
      <c r="X187" s="31">
        <v>1200000.0</v>
      </c>
      <c r="Y187" s="30">
        <f t="shared" si="16"/>
        <v>1200000</v>
      </c>
      <c r="Z187" s="30">
        <f t="shared" si="17"/>
        <v>13</v>
      </c>
      <c r="AA187" s="30"/>
      <c r="AB187" s="30"/>
      <c r="AC187" s="30"/>
      <c r="AD187" s="30"/>
      <c r="AE187" s="30"/>
      <c r="AF187" s="30"/>
      <c r="AG187" s="30"/>
      <c r="AH187" s="30"/>
      <c r="AI187" s="30"/>
      <c r="AJ187" s="32"/>
      <c r="AK187" s="32"/>
      <c r="AL187" s="32"/>
    </row>
    <row r="188" ht="14.25" customHeight="1">
      <c r="A188" s="23">
        <v>187.0</v>
      </c>
      <c r="B188" s="24" t="s">
        <v>27</v>
      </c>
      <c r="C188" s="25" t="s">
        <v>197</v>
      </c>
      <c r="D188" s="24">
        <v>0.0</v>
      </c>
      <c r="E188" s="24"/>
      <c r="F188" s="24">
        <v>0.0</v>
      </c>
      <c r="G188" s="24"/>
      <c r="H188" s="24"/>
      <c r="I188" s="24">
        <v>5654.0</v>
      </c>
      <c r="J188" s="26">
        <v>295.85000000000036</v>
      </c>
      <c r="K188" s="26"/>
      <c r="L188" s="26"/>
      <c r="M188" s="26"/>
      <c r="N188" s="26">
        <v>6.0</v>
      </c>
      <c r="O188" s="36">
        <f t="shared" si="1"/>
        <v>100</v>
      </c>
      <c r="P188" s="36">
        <f t="shared" si="18"/>
        <v>396</v>
      </c>
      <c r="Q188" s="37">
        <f t="shared" si="19"/>
        <v>5258</v>
      </c>
      <c r="R188" s="38">
        <f t="shared" si="4"/>
        <v>253839</v>
      </c>
      <c r="S188" s="39">
        <f t="shared" si="11"/>
        <v>0</v>
      </c>
      <c r="T188" s="30">
        <f t="shared" si="12"/>
        <v>1129</v>
      </c>
      <c r="U188" s="30">
        <f t="shared" si="13"/>
        <v>1584</v>
      </c>
      <c r="V188" s="30">
        <f t="shared" si="14"/>
        <v>554</v>
      </c>
      <c r="W188" s="30">
        <f t="shared" si="15"/>
        <v>35</v>
      </c>
      <c r="X188" s="31">
        <v>1200000.0</v>
      </c>
      <c r="Y188" s="30">
        <f t="shared" si="16"/>
        <v>1200000</v>
      </c>
      <c r="Z188" s="30">
        <f t="shared" si="17"/>
        <v>13</v>
      </c>
      <c r="AA188" s="30"/>
      <c r="AB188" s="30"/>
      <c r="AC188" s="30"/>
      <c r="AD188" s="30"/>
      <c r="AE188" s="30"/>
      <c r="AF188" s="30"/>
      <c r="AG188" s="30"/>
      <c r="AH188" s="30"/>
      <c r="AI188" s="30"/>
      <c r="AJ188" s="32"/>
      <c r="AK188" s="32"/>
      <c r="AL188" s="32"/>
    </row>
    <row r="189" ht="14.25" customHeight="1">
      <c r="A189" s="23">
        <v>188.0</v>
      </c>
      <c r="B189" s="24" t="s">
        <v>29</v>
      </c>
      <c r="C189" s="25" t="s">
        <v>198</v>
      </c>
      <c r="D189" s="24">
        <v>0.0</v>
      </c>
      <c r="E189" s="24"/>
      <c r="F189" s="24">
        <v>0.0</v>
      </c>
      <c r="G189" s="24"/>
      <c r="H189" s="24"/>
      <c r="I189" s="24">
        <v>1856.25</v>
      </c>
      <c r="J189" s="26">
        <v>82.95000000000005</v>
      </c>
      <c r="K189" s="26"/>
      <c r="L189" s="26"/>
      <c r="M189" s="26"/>
      <c r="N189" s="26">
        <v>6.0</v>
      </c>
      <c r="O189" s="36">
        <f t="shared" si="1"/>
        <v>100</v>
      </c>
      <c r="P189" s="36">
        <f t="shared" si="18"/>
        <v>183</v>
      </c>
      <c r="Q189" s="37">
        <f t="shared" si="19"/>
        <v>1673</v>
      </c>
      <c r="R189" s="38">
        <f t="shared" si="4"/>
        <v>255512</v>
      </c>
      <c r="S189" s="39">
        <f t="shared" si="11"/>
        <v>0</v>
      </c>
      <c r="T189" s="30">
        <f t="shared" si="12"/>
        <v>1241</v>
      </c>
      <c r="U189" s="30">
        <f t="shared" si="13"/>
        <v>2064</v>
      </c>
      <c r="V189" s="30">
        <f t="shared" si="14"/>
        <v>527</v>
      </c>
      <c r="W189" s="30">
        <f t="shared" si="15"/>
        <v>25.5</v>
      </c>
      <c r="X189" s="31">
        <v>1200000.0</v>
      </c>
      <c r="Y189" s="30">
        <f t="shared" si="16"/>
        <v>1200000</v>
      </c>
      <c r="Z189" s="30">
        <f t="shared" si="17"/>
        <v>17</v>
      </c>
      <c r="AA189" s="30"/>
      <c r="AB189" s="30"/>
      <c r="AC189" s="30"/>
      <c r="AD189" s="30"/>
      <c r="AE189" s="30"/>
      <c r="AF189" s="30"/>
      <c r="AG189" s="30"/>
      <c r="AH189" s="30"/>
      <c r="AI189" s="30"/>
      <c r="AJ189" s="32"/>
      <c r="AK189" s="32"/>
      <c r="AL189" s="32"/>
    </row>
    <row r="190" ht="14.25" customHeight="1">
      <c r="A190" s="23">
        <v>189.0</v>
      </c>
      <c r="B190" s="24" t="s">
        <v>30</v>
      </c>
      <c r="C190" s="25" t="s">
        <v>199</v>
      </c>
      <c r="D190" s="24">
        <v>0.0</v>
      </c>
      <c r="E190" s="24"/>
      <c r="F190" s="24">
        <v>0.0</v>
      </c>
      <c r="G190" s="24"/>
      <c r="H190" s="24"/>
      <c r="I190" s="24">
        <v>340.0</v>
      </c>
      <c r="J190" s="26">
        <v>23.649999999999977</v>
      </c>
      <c r="K190" s="26"/>
      <c r="L190" s="26"/>
      <c r="M190" s="26"/>
      <c r="N190" s="26">
        <v>6.0</v>
      </c>
      <c r="O190" s="36">
        <f t="shared" si="1"/>
        <v>100</v>
      </c>
      <c r="P190" s="36">
        <f t="shared" si="18"/>
        <v>124</v>
      </c>
      <c r="Q190" s="37">
        <f t="shared" si="19"/>
        <v>216</v>
      </c>
      <c r="R190" s="38">
        <f t="shared" si="4"/>
        <v>255728</v>
      </c>
      <c r="S190" s="39">
        <f t="shared" si="11"/>
        <v>0</v>
      </c>
      <c r="T190" s="30">
        <f t="shared" si="12"/>
        <v>1638</v>
      </c>
      <c r="U190" s="30">
        <f t="shared" si="13"/>
        <v>2201</v>
      </c>
      <c r="V190" s="30">
        <f t="shared" si="14"/>
        <v>516</v>
      </c>
      <c r="W190" s="30">
        <f t="shared" si="15"/>
        <v>23.4</v>
      </c>
      <c r="X190" s="31">
        <v>1200000.0</v>
      </c>
      <c r="Y190" s="30">
        <f t="shared" si="16"/>
        <v>1200000</v>
      </c>
      <c r="Z190" s="30">
        <f t="shared" si="17"/>
        <v>18</v>
      </c>
      <c r="AA190" s="30"/>
      <c r="AB190" s="30"/>
      <c r="AC190" s="30"/>
      <c r="AD190" s="30"/>
      <c r="AE190" s="30"/>
      <c r="AF190" s="30"/>
      <c r="AG190" s="30"/>
      <c r="AH190" s="30"/>
      <c r="AI190" s="30"/>
      <c r="AJ190" s="32"/>
      <c r="AK190" s="32"/>
      <c r="AL190" s="32"/>
    </row>
    <row r="191" ht="14.25" customHeight="1">
      <c r="A191" s="23">
        <v>190.0</v>
      </c>
      <c r="B191" s="24" t="s">
        <v>26</v>
      </c>
      <c r="C191" s="25" t="s">
        <v>200</v>
      </c>
      <c r="D191" s="24">
        <v>0.0</v>
      </c>
      <c r="E191" s="24"/>
      <c r="F191" s="24">
        <v>0.0</v>
      </c>
      <c r="G191" s="24"/>
      <c r="H191" s="24"/>
      <c r="I191" s="24">
        <v>4181.5</v>
      </c>
      <c r="J191" s="26">
        <v>235.25</v>
      </c>
      <c r="K191" s="26"/>
      <c r="L191" s="26"/>
      <c r="M191" s="26"/>
      <c r="N191" s="26">
        <v>6.0</v>
      </c>
      <c r="O191" s="36">
        <f t="shared" si="1"/>
        <v>100</v>
      </c>
      <c r="P191" s="36">
        <f t="shared" si="18"/>
        <v>335</v>
      </c>
      <c r="Q191" s="37">
        <f t="shared" si="19"/>
        <v>3847</v>
      </c>
      <c r="R191" s="38">
        <f t="shared" si="4"/>
        <v>259575</v>
      </c>
      <c r="S191" s="39">
        <f t="shared" si="11"/>
        <v>0</v>
      </c>
      <c r="T191" s="30">
        <f t="shared" si="12"/>
        <v>1682</v>
      </c>
      <c r="U191" s="30">
        <f t="shared" si="13"/>
        <v>2342</v>
      </c>
      <c r="V191" s="30">
        <f t="shared" si="14"/>
        <v>511</v>
      </c>
      <c r="W191" s="30">
        <f t="shared" si="15"/>
        <v>21.8</v>
      </c>
      <c r="X191" s="31">
        <v>1200000.0</v>
      </c>
      <c r="Y191" s="30">
        <f t="shared" si="16"/>
        <v>1200000</v>
      </c>
      <c r="Z191" s="30">
        <f t="shared" si="17"/>
        <v>20</v>
      </c>
      <c r="AA191" s="30"/>
      <c r="AB191" s="30"/>
      <c r="AC191" s="30"/>
      <c r="AD191" s="30"/>
      <c r="AE191" s="30"/>
      <c r="AF191" s="30"/>
      <c r="AG191" s="30"/>
      <c r="AH191" s="30"/>
      <c r="AI191" s="30"/>
      <c r="AJ191" s="32"/>
      <c r="AK191" s="32"/>
      <c r="AL191" s="32"/>
    </row>
    <row r="192" ht="14.25" customHeight="1">
      <c r="A192" s="23">
        <v>191.0</v>
      </c>
      <c r="B192" s="24" t="s">
        <v>27</v>
      </c>
      <c r="C192" s="25" t="s">
        <v>201</v>
      </c>
      <c r="D192" s="24">
        <v>0.0</v>
      </c>
      <c r="E192" s="24"/>
      <c r="F192" s="24">
        <v>0.0</v>
      </c>
      <c r="G192" s="24"/>
      <c r="H192" s="24"/>
      <c r="I192" s="24">
        <v>2614.25</v>
      </c>
      <c r="J192" s="26">
        <v>130.9699999999998</v>
      </c>
      <c r="K192" s="26"/>
      <c r="L192" s="26"/>
      <c r="M192" s="26"/>
      <c r="N192" s="26">
        <v>6.0</v>
      </c>
      <c r="O192" s="36">
        <f t="shared" si="1"/>
        <v>100</v>
      </c>
      <c r="P192" s="36">
        <f t="shared" si="18"/>
        <v>231</v>
      </c>
      <c r="Q192" s="37">
        <f t="shared" si="19"/>
        <v>2383</v>
      </c>
      <c r="R192" s="38">
        <f t="shared" si="4"/>
        <v>261958</v>
      </c>
      <c r="S192" s="39">
        <f t="shared" si="11"/>
        <v>0</v>
      </c>
      <c r="T192" s="30">
        <f t="shared" si="12"/>
        <v>1972</v>
      </c>
      <c r="U192" s="30">
        <f t="shared" si="13"/>
        <v>2216</v>
      </c>
      <c r="V192" s="30">
        <f t="shared" si="14"/>
        <v>506</v>
      </c>
      <c r="W192" s="30">
        <f t="shared" si="15"/>
        <v>22.8</v>
      </c>
      <c r="X192" s="31">
        <v>1200000.0</v>
      </c>
      <c r="Y192" s="30">
        <f t="shared" si="16"/>
        <v>1200000</v>
      </c>
      <c r="Z192" s="30">
        <f t="shared" si="17"/>
        <v>18</v>
      </c>
      <c r="AA192" s="30"/>
      <c r="AB192" s="30"/>
      <c r="AC192" s="30"/>
      <c r="AD192" s="30"/>
      <c r="AE192" s="30"/>
      <c r="AF192" s="30"/>
      <c r="AG192" s="30"/>
      <c r="AH192" s="30"/>
      <c r="AI192" s="30"/>
      <c r="AJ192" s="32"/>
      <c r="AK192" s="32"/>
      <c r="AL192" s="32"/>
    </row>
    <row r="193" ht="14.25" customHeight="1">
      <c r="A193" s="23">
        <v>192.0</v>
      </c>
      <c r="B193" s="24" t="s">
        <v>28</v>
      </c>
      <c r="C193" s="25" t="s">
        <v>202</v>
      </c>
      <c r="D193" s="24">
        <v>0.0</v>
      </c>
      <c r="E193" s="24"/>
      <c r="F193" s="24">
        <v>0.0</v>
      </c>
      <c r="G193" s="24"/>
      <c r="H193" s="24"/>
      <c r="I193" s="24">
        <v>-5032.0</v>
      </c>
      <c r="J193" s="26">
        <v>144.17000000000007</v>
      </c>
      <c r="K193" s="26"/>
      <c r="L193" s="26"/>
      <c r="M193" s="26"/>
      <c r="N193" s="26">
        <v>6.0</v>
      </c>
      <c r="O193" s="36">
        <f t="shared" si="1"/>
        <v>100</v>
      </c>
      <c r="P193" s="36">
        <f t="shared" si="18"/>
        <v>244</v>
      </c>
      <c r="Q193" s="37">
        <f t="shared" si="19"/>
        <v>-5276</v>
      </c>
      <c r="R193" s="38">
        <f t="shared" si="4"/>
        <v>256682</v>
      </c>
      <c r="S193" s="39">
        <f t="shared" si="11"/>
        <v>-5276</v>
      </c>
      <c r="T193" s="30">
        <f t="shared" si="12"/>
        <v>1924</v>
      </c>
      <c r="U193" s="30">
        <f t="shared" si="13"/>
        <v>2096</v>
      </c>
      <c r="V193" s="30">
        <f t="shared" si="14"/>
        <v>502</v>
      </c>
      <c r="W193" s="30">
        <f t="shared" si="15"/>
        <v>24</v>
      </c>
      <c r="X193" s="31">
        <v>1200000.0</v>
      </c>
      <c r="Y193" s="30">
        <f t="shared" si="16"/>
        <v>1200000</v>
      </c>
      <c r="Z193" s="30">
        <f t="shared" si="17"/>
        <v>17</v>
      </c>
      <c r="AA193" s="30"/>
      <c r="AB193" s="30"/>
      <c r="AC193" s="30"/>
      <c r="AD193" s="30"/>
      <c r="AE193" s="30"/>
      <c r="AF193" s="30"/>
      <c r="AG193" s="30"/>
      <c r="AH193" s="30"/>
      <c r="AI193" s="30"/>
      <c r="AJ193" s="32"/>
      <c r="AK193" s="32"/>
      <c r="AL193" s="32"/>
    </row>
    <row r="194" ht="14.25" customHeight="1">
      <c r="A194" s="23">
        <v>193.0</v>
      </c>
      <c r="B194" s="24" t="s">
        <v>29</v>
      </c>
      <c r="C194" s="25" t="s">
        <v>203</v>
      </c>
      <c r="D194" s="24">
        <v>0.0</v>
      </c>
      <c r="E194" s="24"/>
      <c r="F194" s="24">
        <v>0.0</v>
      </c>
      <c r="G194" s="24"/>
      <c r="H194" s="24"/>
      <c r="I194" s="24">
        <v>-5812.25</v>
      </c>
      <c r="J194" s="26">
        <v>80.52000000000044</v>
      </c>
      <c r="K194" s="26"/>
      <c r="L194" s="26"/>
      <c r="M194" s="26"/>
      <c r="N194" s="26">
        <v>6.0</v>
      </c>
      <c r="O194" s="36">
        <f t="shared" si="1"/>
        <v>100</v>
      </c>
      <c r="P194" s="36">
        <f t="shared" si="18"/>
        <v>181</v>
      </c>
      <c r="Q194" s="37">
        <f t="shared" si="19"/>
        <v>-5993</v>
      </c>
      <c r="R194" s="38">
        <f t="shared" si="4"/>
        <v>250689</v>
      </c>
      <c r="S194" s="39">
        <f t="shared" si="11"/>
        <v>-11269</v>
      </c>
      <c r="T194" s="30">
        <f t="shared" si="12"/>
        <v>1802</v>
      </c>
      <c r="U194" s="30">
        <f t="shared" si="13"/>
        <v>2021</v>
      </c>
      <c r="V194" s="30">
        <f t="shared" si="14"/>
        <v>491</v>
      </c>
      <c r="W194" s="30">
        <f t="shared" si="15"/>
        <v>24.3</v>
      </c>
      <c r="X194" s="31">
        <v>1200000.0</v>
      </c>
      <c r="Y194" s="30">
        <f t="shared" si="16"/>
        <v>1200000</v>
      </c>
      <c r="Z194" s="30">
        <f t="shared" si="17"/>
        <v>17</v>
      </c>
      <c r="AA194" s="30"/>
      <c r="AB194" s="30"/>
      <c r="AC194" s="30"/>
      <c r="AD194" s="30"/>
      <c r="AE194" s="30"/>
      <c r="AF194" s="30"/>
      <c r="AG194" s="30"/>
      <c r="AH194" s="30"/>
      <c r="AI194" s="30"/>
      <c r="AJ194" s="32"/>
      <c r="AK194" s="32"/>
      <c r="AL194" s="32"/>
    </row>
    <row r="195" ht="14.25" customHeight="1">
      <c r="A195" s="23">
        <v>194.0</v>
      </c>
      <c r="B195" s="24" t="s">
        <v>30</v>
      </c>
      <c r="C195" s="25" t="s">
        <v>204</v>
      </c>
      <c r="D195" s="24">
        <v>0.0</v>
      </c>
      <c r="E195" s="24"/>
      <c r="F195" s="24">
        <v>0.0</v>
      </c>
      <c r="G195" s="24"/>
      <c r="H195" s="24"/>
      <c r="I195" s="24">
        <v>4566.75</v>
      </c>
      <c r="J195" s="26">
        <v>140.84000000000015</v>
      </c>
      <c r="K195" s="26"/>
      <c r="L195" s="26"/>
      <c r="M195" s="26"/>
      <c r="N195" s="26">
        <v>6.0</v>
      </c>
      <c r="O195" s="36">
        <f t="shared" si="1"/>
        <v>100</v>
      </c>
      <c r="P195" s="36">
        <f t="shared" si="18"/>
        <v>241</v>
      </c>
      <c r="Q195" s="37">
        <f t="shared" si="19"/>
        <v>4326</v>
      </c>
      <c r="R195" s="38">
        <f t="shared" si="4"/>
        <v>255015</v>
      </c>
      <c r="S195" s="39">
        <f t="shared" si="11"/>
        <v>-6943</v>
      </c>
      <c r="T195" s="30">
        <f t="shared" si="12"/>
        <v>1792</v>
      </c>
      <c r="U195" s="30">
        <f t="shared" si="13"/>
        <v>2053</v>
      </c>
      <c r="V195" s="30">
        <f t="shared" si="14"/>
        <v>487</v>
      </c>
      <c r="W195" s="30">
        <f t="shared" si="15"/>
        <v>23.7</v>
      </c>
      <c r="X195" s="31">
        <v>1200000.0</v>
      </c>
      <c r="Y195" s="30">
        <f t="shared" si="16"/>
        <v>1200000</v>
      </c>
      <c r="Z195" s="30">
        <f t="shared" si="17"/>
        <v>17</v>
      </c>
      <c r="AA195" s="30"/>
      <c r="AB195" s="30"/>
      <c r="AC195" s="30"/>
      <c r="AD195" s="30"/>
      <c r="AE195" s="30"/>
      <c r="AF195" s="30"/>
      <c r="AG195" s="30"/>
      <c r="AH195" s="30"/>
      <c r="AI195" s="30"/>
      <c r="AJ195" s="32"/>
      <c r="AK195" s="32"/>
      <c r="AL195" s="32"/>
    </row>
    <row r="196" ht="14.25" customHeight="1">
      <c r="A196" s="23">
        <v>195.0</v>
      </c>
      <c r="B196" s="24" t="s">
        <v>26</v>
      </c>
      <c r="C196" s="25" t="s">
        <v>205</v>
      </c>
      <c r="D196" s="24">
        <v>0.0</v>
      </c>
      <c r="E196" s="24"/>
      <c r="F196" s="24">
        <v>0.0</v>
      </c>
      <c r="G196" s="24"/>
      <c r="H196" s="24"/>
      <c r="I196" s="24">
        <v>-2897.25</v>
      </c>
      <c r="J196" s="26">
        <v>262.03999999999996</v>
      </c>
      <c r="K196" s="26"/>
      <c r="L196" s="26"/>
      <c r="M196" s="26"/>
      <c r="N196" s="26">
        <v>6.0</v>
      </c>
      <c r="O196" s="36">
        <f t="shared" si="1"/>
        <v>100</v>
      </c>
      <c r="P196" s="36">
        <f t="shared" si="18"/>
        <v>362</v>
      </c>
      <c r="Q196" s="37">
        <f t="shared" si="19"/>
        <v>-3259</v>
      </c>
      <c r="R196" s="38">
        <f t="shared" si="4"/>
        <v>251756</v>
      </c>
      <c r="S196" s="39">
        <f t="shared" si="11"/>
        <v>-10202</v>
      </c>
      <c r="T196" s="30">
        <f t="shared" si="12"/>
        <v>1768</v>
      </c>
      <c r="U196" s="30">
        <f t="shared" si="13"/>
        <v>2059</v>
      </c>
      <c r="V196" s="30">
        <f t="shared" si="14"/>
        <v>484</v>
      </c>
      <c r="W196" s="30">
        <f t="shared" si="15"/>
        <v>23.5</v>
      </c>
      <c r="X196" s="31">
        <v>1200000.0</v>
      </c>
      <c r="Y196" s="30">
        <f t="shared" si="16"/>
        <v>1200000</v>
      </c>
      <c r="Z196" s="30">
        <f t="shared" si="17"/>
        <v>17</v>
      </c>
      <c r="AA196" s="30"/>
      <c r="AB196" s="30"/>
      <c r="AC196" s="30"/>
      <c r="AD196" s="30"/>
      <c r="AE196" s="30"/>
      <c r="AF196" s="30"/>
      <c r="AG196" s="30"/>
      <c r="AH196" s="30"/>
      <c r="AI196" s="30"/>
      <c r="AJ196" s="32"/>
      <c r="AK196" s="32"/>
      <c r="AL196" s="32"/>
    </row>
    <row r="197" ht="14.25" customHeight="1">
      <c r="A197" s="23">
        <v>196.0</v>
      </c>
      <c r="B197" s="24" t="s">
        <v>27</v>
      </c>
      <c r="C197" s="25" t="s">
        <v>206</v>
      </c>
      <c r="D197" s="24">
        <v>0.0</v>
      </c>
      <c r="E197" s="24"/>
      <c r="F197" s="24">
        <v>0.0</v>
      </c>
      <c r="G197" s="24"/>
      <c r="H197" s="24"/>
      <c r="I197" s="24">
        <v>5083.25</v>
      </c>
      <c r="J197" s="26">
        <v>131.60999999999967</v>
      </c>
      <c r="K197" s="26"/>
      <c r="L197" s="26"/>
      <c r="M197" s="26"/>
      <c r="N197" s="26">
        <v>6.0</v>
      </c>
      <c r="O197" s="36">
        <f t="shared" si="1"/>
        <v>100</v>
      </c>
      <c r="P197" s="36">
        <f t="shared" si="18"/>
        <v>232</v>
      </c>
      <c r="Q197" s="37">
        <f t="shared" si="19"/>
        <v>4851</v>
      </c>
      <c r="R197" s="38">
        <f t="shared" si="4"/>
        <v>256607</v>
      </c>
      <c r="S197" s="39">
        <f t="shared" si="11"/>
        <v>-5351</v>
      </c>
      <c r="T197" s="30">
        <f t="shared" si="12"/>
        <v>1723</v>
      </c>
      <c r="U197" s="30">
        <f t="shared" si="13"/>
        <v>2163</v>
      </c>
      <c r="V197" s="30">
        <f t="shared" si="14"/>
        <v>468</v>
      </c>
      <c r="W197" s="30">
        <f t="shared" si="15"/>
        <v>21.6</v>
      </c>
      <c r="X197" s="31">
        <v>1200000.0</v>
      </c>
      <c r="Y197" s="30">
        <f t="shared" si="16"/>
        <v>1200000</v>
      </c>
      <c r="Z197" s="30">
        <f t="shared" si="17"/>
        <v>18</v>
      </c>
      <c r="AA197" s="30"/>
      <c r="AB197" s="30"/>
      <c r="AC197" s="30"/>
      <c r="AD197" s="30"/>
      <c r="AE197" s="30"/>
      <c r="AF197" s="30"/>
      <c r="AG197" s="30"/>
      <c r="AH197" s="30"/>
      <c r="AI197" s="30"/>
      <c r="AJ197" s="32"/>
      <c r="AK197" s="32"/>
      <c r="AL197" s="32"/>
    </row>
    <row r="198" ht="14.25" customHeight="1">
      <c r="A198" s="23">
        <v>197.0</v>
      </c>
      <c r="B198" s="24" t="s">
        <v>28</v>
      </c>
      <c r="C198" s="25" t="s">
        <v>207</v>
      </c>
      <c r="D198" s="24">
        <v>0.0</v>
      </c>
      <c r="E198" s="24"/>
      <c r="F198" s="24">
        <v>0.0</v>
      </c>
      <c r="G198" s="24"/>
      <c r="H198" s="24"/>
      <c r="I198" s="24">
        <v>4117.75</v>
      </c>
      <c r="J198" s="26">
        <v>215.42000000000007</v>
      </c>
      <c r="K198" s="26"/>
      <c r="L198" s="26"/>
      <c r="M198" s="26"/>
      <c r="N198" s="26">
        <v>6.0</v>
      </c>
      <c r="O198" s="36">
        <f t="shared" si="1"/>
        <v>100</v>
      </c>
      <c r="P198" s="36">
        <f t="shared" si="18"/>
        <v>315</v>
      </c>
      <c r="Q198" s="37">
        <f t="shared" si="19"/>
        <v>3803</v>
      </c>
      <c r="R198" s="38">
        <f t="shared" si="4"/>
        <v>260410</v>
      </c>
      <c r="S198" s="39">
        <f t="shared" si="11"/>
        <v>-1548</v>
      </c>
      <c r="T198" s="30">
        <f t="shared" si="12"/>
        <v>1655</v>
      </c>
      <c r="U198" s="30">
        <f t="shared" si="13"/>
        <v>2144</v>
      </c>
      <c r="V198" s="30">
        <f t="shared" si="14"/>
        <v>465</v>
      </c>
      <c r="W198" s="30">
        <f t="shared" si="15"/>
        <v>21.7</v>
      </c>
      <c r="X198" s="31">
        <v>1200000.0</v>
      </c>
      <c r="Y198" s="30">
        <f t="shared" si="16"/>
        <v>1200000</v>
      </c>
      <c r="Z198" s="30">
        <f t="shared" si="17"/>
        <v>18</v>
      </c>
      <c r="AA198" s="30"/>
      <c r="AB198" s="30"/>
      <c r="AC198" s="30"/>
      <c r="AD198" s="30"/>
      <c r="AE198" s="30"/>
      <c r="AF198" s="30"/>
      <c r="AG198" s="30"/>
      <c r="AH198" s="30"/>
      <c r="AI198" s="30"/>
      <c r="AJ198" s="32"/>
      <c r="AK198" s="32"/>
      <c r="AL198" s="32"/>
    </row>
    <row r="199" ht="14.25" customHeight="1">
      <c r="A199" s="23">
        <v>198.0</v>
      </c>
      <c r="B199" s="24" t="s">
        <v>29</v>
      </c>
      <c r="C199" s="25" t="s">
        <v>208</v>
      </c>
      <c r="D199" s="24">
        <v>0.0</v>
      </c>
      <c r="E199" s="24"/>
      <c r="F199" s="24">
        <v>0.0</v>
      </c>
      <c r="G199" s="24"/>
      <c r="H199" s="24"/>
      <c r="I199" s="24">
        <v>-5777.0</v>
      </c>
      <c r="J199" s="26">
        <v>435.2399999999998</v>
      </c>
      <c r="K199" s="26"/>
      <c r="L199" s="26"/>
      <c r="M199" s="26"/>
      <c r="N199" s="26">
        <v>6.0</v>
      </c>
      <c r="O199" s="36">
        <f t="shared" si="1"/>
        <v>100</v>
      </c>
      <c r="P199" s="36">
        <f t="shared" si="18"/>
        <v>535</v>
      </c>
      <c r="Q199" s="37">
        <f t="shared" si="19"/>
        <v>-6312</v>
      </c>
      <c r="R199" s="38">
        <f t="shared" si="4"/>
        <v>254098</v>
      </c>
      <c r="S199" s="39">
        <f t="shared" si="11"/>
        <v>-7860</v>
      </c>
      <c r="T199" s="30">
        <f t="shared" si="12"/>
        <v>1495</v>
      </c>
      <c r="U199" s="30">
        <f t="shared" si="13"/>
        <v>1823</v>
      </c>
      <c r="V199" s="30">
        <f t="shared" si="14"/>
        <v>461</v>
      </c>
      <c r="W199" s="30">
        <f t="shared" si="15"/>
        <v>25.3</v>
      </c>
      <c r="X199" s="31">
        <v>1200000.0</v>
      </c>
      <c r="Y199" s="30">
        <f t="shared" si="16"/>
        <v>1200000</v>
      </c>
      <c r="Z199" s="30">
        <f t="shared" si="17"/>
        <v>15</v>
      </c>
      <c r="AA199" s="30"/>
      <c r="AB199" s="30"/>
      <c r="AC199" s="30"/>
      <c r="AD199" s="30"/>
      <c r="AE199" s="30"/>
      <c r="AF199" s="30"/>
      <c r="AG199" s="30"/>
      <c r="AH199" s="30"/>
      <c r="AI199" s="30"/>
      <c r="AJ199" s="32"/>
      <c r="AK199" s="32"/>
      <c r="AL199" s="32"/>
    </row>
    <row r="200" ht="14.25" customHeight="1">
      <c r="A200" s="23">
        <v>199.0</v>
      </c>
      <c r="B200" s="24" t="s">
        <v>30</v>
      </c>
      <c r="C200" s="25" t="s">
        <v>209</v>
      </c>
      <c r="D200" s="24">
        <v>0.0</v>
      </c>
      <c r="E200" s="24"/>
      <c r="F200" s="24">
        <v>0.0</v>
      </c>
      <c r="G200" s="24"/>
      <c r="H200" s="24"/>
      <c r="I200" s="24">
        <v>7177.25</v>
      </c>
      <c r="J200" s="26">
        <v>780.8800000000001</v>
      </c>
      <c r="K200" s="26"/>
      <c r="L200" s="26"/>
      <c r="M200" s="26"/>
      <c r="N200" s="26">
        <v>6.0</v>
      </c>
      <c r="O200" s="36">
        <f t="shared" si="1"/>
        <v>100</v>
      </c>
      <c r="P200" s="36">
        <f t="shared" si="18"/>
        <v>881</v>
      </c>
      <c r="Q200" s="37">
        <f t="shared" si="19"/>
        <v>6296</v>
      </c>
      <c r="R200" s="38">
        <f t="shared" si="4"/>
        <v>260394</v>
      </c>
      <c r="S200" s="39">
        <f t="shared" si="11"/>
        <v>-1564</v>
      </c>
      <c r="T200" s="30">
        <f t="shared" si="12"/>
        <v>1606</v>
      </c>
      <c r="U200" s="30">
        <f t="shared" si="13"/>
        <v>1803</v>
      </c>
      <c r="V200" s="30">
        <f t="shared" si="14"/>
        <v>466</v>
      </c>
      <c r="W200" s="30">
        <f t="shared" si="15"/>
        <v>25.8</v>
      </c>
      <c r="X200" s="31">
        <v>1200000.0</v>
      </c>
      <c r="Y200" s="30">
        <f t="shared" si="16"/>
        <v>1200000</v>
      </c>
      <c r="Z200" s="30">
        <f t="shared" si="17"/>
        <v>15</v>
      </c>
      <c r="AA200" s="30"/>
      <c r="AB200" s="30"/>
      <c r="AC200" s="30"/>
      <c r="AD200" s="30"/>
      <c r="AE200" s="30"/>
      <c r="AF200" s="30"/>
      <c r="AG200" s="30"/>
      <c r="AH200" s="30"/>
      <c r="AI200" s="30"/>
      <c r="AJ200" s="32"/>
      <c r="AK200" s="32"/>
      <c r="AL200" s="32"/>
    </row>
    <row r="201" ht="14.25" customHeight="1">
      <c r="A201" s="23">
        <v>200.0</v>
      </c>
      <c r="B201" s="24" t="s">
        <v>26</v>
      </c>
      <c r="C201" s="25" t="s">
        <v>210</v>
      </c>
      <c r="D201" s="24">
        <v>0.0</v>
      </c>
      <c r="E201" s="24"/>
      <c r="F201" s="24">
        <v>0.0</v>
      </c>
      <c r="G201" s="24"/>
      <c r="H201" s="24"/>
      <c r="I201" s="24">
        <v>-3708.5</v>
      </c>
      <c r="J201" s="26">
        <v>598.0900000000001</v>
      </c>
      <c r="K201" s="26"/>
      <c r="L201" s="26"/>
      <c r="M201" s="26"/>
      <c r="N201" s="26">
        <v>6.0</v>
      </c>
      <c r="O201" s="36">
        <f t="shared" si="1"/>
        <v>100</v>
      </c>
      <c r="P201" s="36">
        <f t="shared" si="18"/>
        <v>698</v>
      </c>
      <c r="Q201" s="37">
        <f t="shared" si="19"/>
        <v>-4407</v>
      </c>
      <c r="R201" s="38">
        <f t="shared" si="4"/>
        <v>255987</v>
      </c>
      <c r="S201" s="39">
        <f t="shared" si="11"/>
        <v>-5971</v>
      </c>
      <c r="T201" s="30">
        <f t="shared" si="12"/>
        <v>1510</v>
      </c>
      <c r="U201" s="30">
        <f t="shared" si="13"/>
        <v>1709</v>
      </c>
      <c r="V201" s="30">
        <f t="shared" si="14"/>
        <v>468</v>
      </c>
      <c r="W201" s="30">
        <f t="shared" si="15"/>
        <v>27.4</v>
      </c>
      <c r="X201" s="31">
        <v>1200000.0</v>
      </c>
      <c r="Y201" s="30">
        <f t="shared" si="16"/>
        <v>1200000</v>
      </c>
      <c r="Z201" s="30">
        <f t="shared" si="17"/>
        <v>14</v>
      </c>
      <c r="AA201" s="30"/>
      <c r="AB201" s="30"/>
      <c r="AC201" s="30"/>
      <c r="AD201" s="30"/>
      <c r="AE201" s="30"/>
      <c r="AF201" s="30"/>
      <c r="AG201" s="30"/>
      <c r="AH201" s="30"/>
      <c r="AI201" s="30"/>
      <c r="AJ201" s="32"/>
      <c r="AK201" s="32"/>
      <c r="AL201" s="32"/>
    </row>
    <row r="202" ht="14.25" customHeight="1">
      <c r="A202" s="23">
        <v>201.0</v>
      </c>
      <c r="B202" s="24" t="s">
        <v>27</v>
      </c>
      <c r="C202" s="25" t="s">
        <v>211</v>
      </c>
      <c r="D202" s="24">
        <v>0.0</v>
      </c>
      <c r="E202" s="24"/>
      <c r="F202" s="24">
        <v>0.0</v>
      </c>
      <c r="G202" s="24"/>
      <c r="H202" s="24"/>
      <c r="I202" s="24">
        <v>-13695.0</v>
      </c>
      <c r="J202" s="26">
        <v>919.9699999999993</v>
      </c>
      <c r="K202" s="26"/>
      <c r="L202" s="26"/>
      <c r="M202" s="26"/>
      <c r="N202" s="26">
        <v>6.0</v>
      </c>
      <c r="O202" s="36">
        <f t="shared" si="1"/>
        <v>100</v>
      </c>
      <c r="P202" s="36">
        <f t="shared" si="18"/>
        <v>1020</v>
      </c>
      <c r="Q202" s="37">
        <f t="shared" si="19"/>
        <v>-14715</v>
      </c>
      <c r="R202" s="38">
        <f t="shared" si="4"/>
        <v>241272</v>
      </c>
      <c r="S202" s="39">
        <f t="shared" si="11"/>
        <v>-20686</v>
      </c>
      <c r="T202" s="30">
        <f t="shared" si="12"/>
        <v>1014</v>
      </c>
      <c r="U202" s="30">
        <f t="shared" si="13"/>
        <v>1646</v>
      </c>
      <c r="V202" s="30">
        <f t="shared" si="14"/>
        <v>470</v>
      </c>
      <c r="W202" s="30">
        <f t="shared" si="15"/>
        <v>28.6</v>
      </c>
      <c r="X202" s="31">
        <v>1200000.0</v>
      </c>
      <c r="Y202" s="30">
        <f t="shared" si="16"/>
        <v>1200000</v>
      </c>
      <c r="Z202" s="30">
        <f t="shared" si="17"/>
        <v>14</v>
      </c>
      <c r="AA202" s="30"/>
      <c r="AB202" s="30"/>
      <c r="AC202" s="30"/>
      <c r="AD202" s="30"/>
      <c r="AE202" s="30"/>
      <c r="AF202" s="30"/>
      <c r="AG202" s="30"/>
      <c r="AH202" s="30"/>
      <c r="AI202" s="30"/>
      <c r="AJ202" s="32"/>
      <c r="AK202" s="32"/>
      <c r="AL202" s="32"/>
    </row>
    <row r="203" ht="14.25" customHeight="1">
      <c r="A203" s="23">
        <v>202.0</v>
      </c>
      <c r="B203" s="24" t="s">
        <v>29</v>
      </c>
      <c r="C203" s="25" t="s">
        <v>212</v>
      </c>
      <c r="D203" s="24">
        <v>0.0</v>
      </c>
      <c r="E203" s="24"/>
      <c r="F203" s="24">
        <v>0.0</v>
      </c>
      <c r="G203" s="24"/>
      <c r="H203" s="24"/>
      <c r="I203" s="24">
        <v>-7844.0</v>
      </c>
      <c r="J203" s="26">
        <v>577.7999999999993</v>
      </c>
      <c r="K203" s="26"/>
      <c r="L203" s="26"/>
      <c r="M203" s="26"/>
      <c r="N203" s="26">
        <v>6.0</v>
      </c>
      <c r="O203" s="36">
        <f t="shared" si="1"/>
        <v>100</v>
      </c>
      <c r="P203" s="36">
        <f t="shared" si="18"/>
        <v>678</v>
      </c>
      <c r="Q203" s="37">
        <f t="shared" si="19"/>
        <v>-8522</v>
      </c>
      <c r="R203" s="38">
        <f t="shared" si="4"/>
        <v>232750</v>
      </c>
      <c r="S203" s="39">
        <f t="shared" si="11"/>
        <v>-29208</v>
      </c>
      <c r="T203" s="30">
        <f t="shared" si="12"/>
        <v>594</v>
      </c>
      <c r="U203" s="30">
        <f t="shared" si="13"/>
        <v>1460</v>
      </c>
      <c r="V203" s="30">
        <f t="shared" si="14"/>
        <v>470</v>
      </c>
      <c r="W203" s="30">
        <f t="shared" si="15"/>
        <v>32.2</v>
      </c>
      <c r="X203" s="31">
        <v>1200000.0</v>
      </c>
      <c r="Y203" s="30">
        <f t="shared" si="16"/>
        <v>1200000</v>
      </c>
      <c r="Z203" s="30">
        <f t="shared" si="17"/>
        <v>12</v>
      </c>
      <c r="AA203" s="30"/>
      <c r="AB203" s="30"/>
      <c r="AC203" s="30"/>
      <c r="AD203" s="30"/>
      <c r="AE203" s="30"/>
      <c r="AF203" s="30"/>
      <c r="AG203" s="30"/>
      <c r="AH203" s="30"/>
      <c r="AI203" s="30"/>
      <c r="AJ203" s="32"/>
      <c r="AK203" s="32"/>
      <c r="AL203" s="32"/>
    </row>
    <row r="204" ht="14.25" customHeight="1">
      <c r="A204" s="23">
        <v>203.0</v>
      </c>
      <c r="B204" s="24" t="s">
        <v>30</v>
      </c>
      <c r="C204" s="25" t="s">
        <v>213</v>
      </c>
      <c r="D204" s="24">
        <v>0.0</v>
      </c>
      <c r="E204" s="24"/>
      <c r="F204" s="24">
        <v>0.0</v>
      </c>
      <c r="G204" s="24"/>
      <c r="H204" s="24"/>
      <c r="I204" s="24">
        <v>16131.25</v>
      </c>
      <c r="J204" s="26">
        <v>71.22999999999956</v>
      </c>
      <c r="K204" s="26"/>
      <c r="L204" s="26"/>
      <c r="M204" s="26"/>
      <c r="N204" s="26">
        <v>6.0</v>
      </c>
      <c r="O204" s="36">
        <f t="shared" si="1"/>
        <v>100</v>
      </c>
      <c r="P204" s="36">
        <f t="shared" si="18"/>
        <v>171</v>
      </c>
      <c r="Q204" s="37">
        <f t="shared" si="19"/>
        <v>15960</v>
      </c>
      <c r="R204" s="38">
        <f t="shared" si="4"/>
        <v>248710</v>
      </c>
      <c r="S204" s="39">
        <f t="shared" si="11"/>
        <v>-13248</v>
      </c>
      <c r="T204" s="30">
        <f t="shared" si="12"/>
        <v>867</v>
      </c>
      <c r="U204" s="30">
        <f t="shared" si="13"/>
        <v>1558</v>
      </c>
      <c r="V204" s="30">
        <f t="shared" si="14"/>
        <v>463</v>
      </c>
      <c r="W204" s="30">
        <f t="shared" si="15"/>
        <v>29.7</v>
      </c>
      <c r="X204" s="31">
        <v>1200000.0</v>
      </c>
      <c r="Y204" s="30">
        <f t="shared" si="16"/>
        <v>1200000</v>
      </c>
      <c r="Z204" s="30">
        <f t="shared" si="17"/>
        <v>13</v>
      </c>
      <c r="AA204" s="30"/>
      <c r="AB204" s="30"/>
      <c r="AC204" s="30"/>
      <c r="AD204" s="30"/>
      <c r="AE204" s="30"/>
      <c r="AF204" s="30"/>
      <c r="AG204" s="30"/>
      <c r="AH204" s="30"/>
      <c r="AI204" s="30"/>
      <c r="AJ204" s="32"/>
      <c r="AK204" s="32"/>
      <c r="AL204" s="32"/>
    </row>
    <row r="205" ht="14.25" customHeight="1">
      <c r="A205" s="23">
        <v>204.0</v>
      </c>
      <c r="B205" s="24" t="s">
        <v>26</v>
      </c>
      <c r="C205" s="25" t="s">
        <v>214</v>
      </c>
      <c r="D205" s="24">
        <v>0.0</v>
      </c>
      <c r="E205" s="24"/>
      <c r="F205" s="24">
        <v>0.0</v>
      </c>
      <c r="G205" s="24"/>
      <c r="H205" s="24"/>
      <c r="I205" s="24">
        <v>4547.25</v>
      </c>
      <c r="J205" s="26">
        <v>110.05000000000018</v>
      </c>
      <c r="K205" s="26"/>
      <c r="L205" s="26"/>
      <c r="M205" s="26"/>
      <c r="N205" s="26">
        <v>6.0</v>
      </c>
      <c r="O205" s="36">
        <f t="shared" si="1"/>
        <v>100</v>
      </c>
      <c r="P205" s="36">
        <f t="shared" si="18"/>
        <v>210</v>
      </c>
      <c r="Q205" s="37">
        <f t="shared" si="19"/>
        <v>4337</v>
      </c>
      <c r="R205" s="38">
        <f t="shared" si="4"/>
        <v>253047</v>
      </c>
      <c r="S205" s="39">
        <f t="shared" si="11"/>
        <v>-8911</v>
      </c>
      <c r="T205" s="30">
        <f t="shared" si="12"/>
        <v>1014</v>
      </c>
      <c r="U205" s="30">
        <f t="shared" si="13"/>
        <v>1565</v>
      </c>
      <c r="V205" s="30">
        <f t="shared" si="14"/>
        <v>461</v>
      </c>
      <c r="W205" s="30">
        <f t="shared" si="15"/>
        <v>29.5</v>
      </c>
      <c r="X205" s="31">
        <v>1200000.0</v>
      </c>
      <c r="Y205" s="30">
        <f t="shared" si="16"/>
        <v>1200000</v>
      </c>
      <c r="Z205" s="30">
        <f t="shared" si="17"/>
        <v>13</v>
      </c>
      <c r="AA205" s="30"/>
      <c r="AB205" s="30"/>
      <c r="AC205" s="30"/>
      <c r="AD205" s="30"/>
      <c r="AE205" s="30"/>
      <c r="AF205" s="30"/>
      <c r="AG205" s="30"/>
      <c r="AH205" s="30"/>
      <c r="AI205" s="30"/>
      <c r="AJ205" s="32"/>
      <c r="AK205" s="32"/>
      <c r="AL205" s="32"/>
    </row>
    <row r="206" ht="14.25" customHeight="1">
      <c r="A206" s="23">
        <v>205.0</v>
      </c>
      <c r="B206" s="24" t="s">
        <v>27</v>
      </c>
      <c r="C206" s="25" t="s">
        <v>215</v>
      </c>
      <c r="D206" s="24">
        <v>0.0</v>
      </c>
      <c r="E206" s="24"/>
      <c r="F206" s="24">
        <v>0.0</v>
      </c>
      <c r="G206" s="24"/>
      <c r="H206" s="24"/>
      <c r="I206" s="24">
        <v>-7332.0</v>
      </c>
      <c r="J206" s="26">
        <v>1853.4099999999999</v>
      </c>
      <c r="K206" s="26"/>
      <c r="L206" s="26"/>
      <c r="M206" s="26"/>
      <c r="N206" s="26">
        <v>6.0</v>
      </c>
      <c r="O206" s="36">
        <f t="shared" si="1"/>
        <v>100</v>
      </c>
      <c r="P206" s="36">
        <f t="shared" si="18"/>
        <v>1953</v>
      </c>
      <c r="Q206" s="37">
        <f t="shared" si="19"/>
        <v>-9285</v>
      </c>
      <c r="R206" s="38">
        <f t="shared" si="4"/>
        <v>243762</v>
      </c>
      <c r="S206" s="39">
        <f t="shared" si="11"/>
        <v>-18196</v>
      </c>
      <c r="T206" s="30">
        <f t="shared" si="12"/>
        <v>697</v>
      </c>
      <c r="U206" s="30">
        <f t="shared" si="13"/>
        <v>1477</v>
      </c>
      <c r="V206" s="30">
        <f t="shared" si="14"/>
        <v>471</v>
      </c>
      <c r="W206" s="30">
        <f t="shared" si="15"/>
        <v>31.9</v>
      </c>
      <c r="X206" s="31">
        <v>1200000.0</v>
      </c>
      <c r="Y206" s="30">
        <f t="shared" si="16"/>
        <v>1200000</v>
      </c>
      <c r="Z206" s="30">
        <f t="shared" si="17"/>
        <v>12</v>
      </c>
      <c r="AA206" s="30"/>
      <c r="AB206" s="30"/>
      <c r="AC206" s="30"/>
      <c r="AD206" s="30"/>
      <c r="AE206" s="30"/>
      <c r="AF206" s="30"/>
      <c r="AG206" s="30"/>
      <c r="AH206" s="30"/>
      <c r="AI206" s="30"/>
      <c r="AJ206" s="32"/>
      <c r="AK206" s="32"/>
      <c r="AL206" s="32"/>
    </row>
    <row r="207" ht="14.25" customHeight="1">
      <c r="A207" s="23">
        <v>206.0</v>
      </c>
      <c r="B207" s="24" t="s">
        <v>28</v>
      </c>
      <c r="C207" s="25" t="s">
        <v>216</v>
      </c>
      <c r="D207" s="24">
        <v>0.0</v>
      </c>
      <c r="E207" s="24"/>
      <c r="F207" s="24">
        <v>0.0</v>
      </c>
      <c r="G207" s="24"/>
      <c r="H207" s="24"/>
      <c r="I207" s="24">
        <v>-7913.5</v>
      </c>
      <c r="J207" s="26">
        <v>898.2600000000002</v>
      </c>
      <c r="K207" s="26"/>
      <c r="L207" s="26"/>
      <c r="M207" s="26"/>
      <c r="N207" s="26">
        <v>6.0</v>
      </c>
      <c r="O207" s="36">
        <f t="shared" si="1"/>
        <v>100</v>
      </c>
      <c r="P207" s="36">
        <f t="shared" si="18"/>
        <v>998</v>
      </c>
      <c r="Q207" s="37">
        <f t="shared" si="19"/>
        <v>-8912</v>
      </c>
      <c r="R207" s="38">
        <f t="shared" si="4"/>
        <v>234850</v>
      </c>
      <c r="S207" s="39">
        <f t="shared" si="11"/>
        <v>-27108</v>
      </c>
      <c r="T207" s="30">
        <f t="shared" si="12"/>
        <v>501</v>
      </c>
      <c r="U207" s="30">
        <f t="shared" si="13"/>
        <v>1420</v>
      </c>
      <c r="V207" s="30">
        <f t="shared" si="14"/>
        <v>464</v>
      </c>
      <c r="W207" s="30">
        <f t="shared" si="15"/>
        <v>32.7</v>
      </c>
      <c r="X207" s="31">
        <v>1200000.0</v>
      </c>
      <c r="Y207" s="30">
        <f t="shared" si="16"/>
        <v>1200000</v>
      </c>
      <c r="Z207" s="30">
        <f t="shared" si="17"/>
        <v>12</v>
      </c>
      <c r="AA207" s="30"/>
      <c r="AB207" s="30"/>
      <c r="AC207" s="30"/>
      <c r="AD207" s="30"/>
      <c r="AE207" s="30"/>
      <c r="AF207" s="30"/>
      <c r="AG207" s="30"/>
      <c r="AH207" s="30"/>
      <c r="AI207" s="30"/>
      <c r="AJ207" s="32"/>
      <c r="AK207" s="32"/>
      <c r="AL207" s="32"/>
    </row>
    <row r="208" ht="14.25" customHeight="1">
      <c r="A208" s="23">
        <v>207.0</v>
      </c>
      <c r="B208" s="24" t="s">
        <v>29</v>
      </c>
      <c r="C208" s="25" t="s">
        <v>217</v>
      </c>
      <c r="D208" s="24">
        <v>0.0</v>
      </c>
      <c r="E208" s="24"/>
      <c r="F208" s="24">
        <v>0.0</v>
      </c>
      <c r="G208" s="24"/>
      <c r="H208" s="24"/>
      <c r="I208" s="24">
        <v>-3142.0</v>
      </c>
      <c r="J208" s="26">
        <v>488.82000000000016</v>
      </c>
      <c r="K208" s="26"/>
      <c r="L208" s="26"/>
      <c r="M208" s="26"/>
      <c r="N208" s="26">
        <v>6.0</v>
      </c>
      <c r="O208" s="36">
        <f t="shared" si="1"/>
        <v>100</v>
      </c>
      <c r="P208" s="36">
        <f t="shared" si="18"/>
        <v>589</v>
      </c>
      <c r="Q208" s="37">
        <f t="shared" si="19"/>
        <v>-3731</v>
      </c>
      <c r="R208" s="38">
        <f t="shared" si="4"/>
        <v>231119</v>
      </c>
      <c r="S208" s="39">
        <f t="shared" si="11"/>
        <v>-30839</v>
      </c>
      <c r="T208" s="30">
        <f t="shared" si="12"/>
        <v>457</v>
      </c>
      <c r="U208" s="30">
        <f t="shared" si="13"/>
        <v>1280</v>
      </c>
      <c r="V208" s="30">
        <f t="shared" si="14"/>
        <v>467</v>
      </c>
      <c r="W208" s="30">
        <f t="shared" si="15"/>
        <v>36.5</v>
      </c>
      <c r="X208" s="31">
        <v>1200000.0</v>
      </c>
      <c r="Y208" s="30">
        <f t="shared" si="16"/>
        <v>1200000</v>
      </c>
      <c r="Z208" s="30">
        <f t="shared" si="17"/>
        <v>11</v>
      </c>
      <c r="AA208" s="30"/>
      <c r="AB208" s="30"/>
      <c r="AC208" s="30"/>
      <c r="AD208" s="30"/>
      <c r="AE208" s="30"/>
      <c r="AF208" s="30"/>
      <c r="AG208" s="30"/>
      <c r="AH208" s="30"/>
      <c r="AI208" s="30"/>
      <c r="AJ208" s="32"/>
      <c r="AK208" s="32"/>
      <c r="AL208" s="32"/>
    </row>
    <row r="209" ht="14.25" customHeight="1">
      <c r="A209" s="23">
        <v>208.0</v>
      </c>
      <c r="B209" s="24" t="s">
        <v>26</v>
      </c>
      <c r="C209" s="25" t="s">
        <v>218</v>
      </c>
      <c r="D209" s="24">
        <v>0.0</v>
      </c>
      <c r="E209" s="24"/>
      <c r="F209" s="24">
        <v>0.0</v>
      </c>
      <c r="G209" s="24"/>
      <c r="H209" s="24"/>
      <c r="I209" s="24">
        <v>11611.25</v>
      </c>
      <c r="J209" s="26">
        <v>602.4200000000001</v>
      </c>
      <c r="K209" s="26"/>
      <c r="L209" s="26"/>
      <c r="M209" s="26"/>
      <c r="N209" s="26">
        <v>6.0</v>
      </c>
      <c r="O209" s="36">
        <f t="shared" si="1"/>
        <v>100</v>
      </c>
      <c r="P209" s="36">
        <f t="shared" si="18"/>
        <v>702</v>
      </c>
      <c r="Q209" s="37">
        <f t="shared" si="19"/>
        <v>10909</v>
      </c>
      <c r="R209" s="38">
        <f t="shared" si="4"/>
        <v>242028</v>
      </c>
      <c r="S209" s="39">
        <f t="shared" si="11"/>
        <v>-19930</v>
      </c>
      <c r="T209" s="30">
        <f t="shared" si="12"/>
        <v>863</v>
      </c>
      <c r="U209" s="30">
        <f t="shared" si="13"/>
        <v>1402</v>
      </c>
      <c r="V209" s="30">
        <f t="shared" si="14"/>
        <v>472</v>
      </c>
      <c r="W209" s="30">
        <f t="shared" si="15"/>
        <v>33.7</v>
      </c>
      <c r="X209" s="31">
        <v>1200000.0</v>
      </c>
      <c r="Y209" s="30">
        <f t="shared" si="16"/>
        <v>1200000</v>
      </c>
      <c r="Z209" s="30">
        <f t="shared" si="17"/>
        <v>12</v>
      </c>
      <c r="AA209" s="30"/>
      <c r="AB209" s="30"/>
      <c r="AC209" s="30"/>
      <c r="AD209" s="30"/>
      <c r="AE209" s="30"/>
      <c r="AF209" s="30"/>
      <c r="AG209" s="30"/>
      <c r="AH209" s="30"/>
      <c r="AI209" s="30"/>
      <c r="AJ209" s="32"/>
      <c r="AK209" s="32"/>
      <c r="AL209" s="32"/>
    </row>
    <row r="210" ht="14.25" customHeight="1">
      <c r="A210" s="23">
        <v>209.0</v>
      </c>
      <c r="B210" s="24" t="s">
        <v>27</v>
      </c>
      <c r="C210" s="25" t="s">
        <v>219</v>
      </c>
      <c r="D210" s="24">
        <v>0.0</v>
      </c>
      <c r="E210" s="24"/>
      <c r="F210" s="24">
        <v>0.0</v>
      </c>
      <c r="G210" s="24"/>
      <c r="H210" s="24"/>
      <c r="I210" s="24">
        <v>6949.25</v>
      </c>
      <c r="J210" s="26">
        <v>184.77999999999975</v>
      </c>
      <c r="K210" s="26"/>
      <c r="L210" s="26"/>
      <c r="M210" s="26"/>
      <c r="N210" s="26">
        <v>6.0</v>
      </c>
      <c r="O210" s="36">
        <f t="shared" si="1"/>
        <v>100</v>
      </c>
      <c r="P210" s="36">
        <f t="shared" si="18"/>
        <v>285</v>
      </c>
      <c r="Q210" s="37">
        <f t="shared" si="19"/>
        <v>6664</v>
      </c>
      <c r="R210" s="38">
        <f t="shared" si="4"/>
        <v>248692</v>
      </c>
      <c r="S210" s="39">
        <f t="shared" si="11"/>
        <v>-13266</v>
      </c>
      <c r="T210" s="30">
        <f t="shared" si="12"/>
        <v>742</v>
      </c>
      <c r="U210" s="30">
        <f t="shared" si="13"/>
        <v>1466</v>
      </c>
      <c r="V210" s="30">
        <f t="shared" si="14"/>
        <v>463</v>
      </c>
      <c r="W210" s="30">
        <f t="shared" si="15"/>
        <v>31.6</v>
      </c>
      <c r="X210" s="31">
        <v>1200000.0</v>
      </c>
      <c r="Y210" s="30">
        <f t="shared" si="16"/>
        <v>1200000</v>
      </c>
      <c r="Z210" s="30">
        <f t="shared" si="17"/>
        <v>12</v>
      </c>
      <c r="AA210" s="30"/>
      <c r="AB210" s="30"/>
      <c r="AC210" s="30"/>
      <c r="AD210" s="30"/>
      <c r="AE210" s="30"/>
      <c r="AF210" s="30"/>
      <c r="AG210" s="30"/>
      <c r="AH210" s="30"/>
      <c r="AI210" s="30"/>
      <c r="AJ210" s="32"/>
      <c r="AK210" s="32"/>
      <c r="AL210" s="32"/>
    </row>
    <row r="211" ht="14.25" customHeight="1">
      <c r="A211" s="23">
        <v>210.0</v>
      </c>
      <c r="B211" s="24" t="s">
        <v>28</v>
      </c>
      <c r="C211" s="25" t="s">
        <v>220</v>
      </c>
      <c r="D211" s="24">
        <v>0.0</v>
      </c>
      <c r="E211" s="24"/>
      <c r="F211" s="24">
        <v>0.0</v>
      </c>
      <c r="G211" s="24"/>
      <c r="H211" s="24"/>
      <c r="I211" s="24">
        <v>7481.0</v>
      </c>
      <c r="J211" s="26">
        <v>461.2399999999998</v>
      </c>
      <c r="K211" s="26"/>
      <c r="L211" s="26"/>
      <c r="M211" s="26"/>
      <c r="N211" s="26">
        <v>6.0</v>
      </c>
      <c r="O211" s="36">
        <f t="shared" si="1"/>
        <v>100</v>
      </c>
      <c r="P211" s="36">
        <f t="shared" si="18"/>
        <v>561</v>
      </c>
      <c r="Q211" s="37">
        <f t="shared" si="19"/>
        <v>6920</v>
      </c>
      <c r="R211" s="38">
        <f t="shared" si="4"/>
        <v>255612</v>
      </c>
      <c r="S211" s="39">
        <f t="shared" si="11"/>
        <v>-6346</v>
      </c>
      <c r="T211" s="30">
        <f t="shared" si="12"/>
        <v>771</v>
      </c>
      <c r="U211" s="30">
        <f t="shared" si="13"/>
        <v>1563</v>
      </c>
      <c r="V211" s="30">
        <f t="shared" si="14"/>
        <v>459</v>
      </c>
      <c r="W211" s="30">
        <f t="shared" si="15"/>
        <v>29.4</v>
      </c>
      <c r="X211" s="31">
        <v>1200000.0</v>
      </c>
      <c r="Y211" s="30">
        <f t="shared" si="16"/>
        <v>1200000</v>
      </c>
      <c r="Z211" s="30">
        <f t="shared" si="17"/>
        <v>13</v>
      </c>
      <c r="AA211" s="30"/>
      <c r="AB211" s="30"/>
      <c r="AC211" s="30"/>
      <c r="AD211" s="30"/>
      <c r="AE211" s="30"/>
      <c r="AF211" s="30"/>
      <c r="AG211" s="30"/>
      <c r="AH211" s="30"/>
      <c r="AI211" s="30"/>
      <c r="AJ211" s="32"/>
      <c r="AK211" s="32"/>
      <c r="AL211" s="32"/>
    </row>
    <row r="212" ht="14.25" customHeight="1">
      <c r="A212" s="23">
        <v>211.0</v>
      </c>
      <c r="B212" s="24" t="s">
        <v>29</v>
      </c>
      <c r="C212" s="25" t="s">
        <v>221</v>
      </c>
      <c r="D212" s="24">
        <v>0.0</v>
      </c>
      <c r="E212" s="24"/>
      <c r="F212" s="24">
        <v>0.0</v>
      </c>
      <c r="G212" s="24"/>
      <c r="H212" s="24"/>
      <c r="I212" s="24">
        <v>8912.25</v>
      </c>
      <c r="J212" s="26">
        <v>1855.63</v>
      </c>
      <c r="K212" s="26"/>
      <c r="L212" s="26"/>
      <c r="M212" s="26"/>
      <c r="N212" s="26">
        <v>6.0</v>
      </c>
      <c r="O212" s="36">
        <f t="shared" si="1"/>
        <v>100</v>
      </c>
      <c r="P212" s="36">
        <f t="shared" si="18"/>
        <v>1956</v>
      </c>
      <c r="Q212" s="37">
        <f t="shared" si="19"/>
        <v>6956</v>
      </c>
      <c r="R212" s="38">
        <f t="shared" si="4"/>
        <v>262568</v>
      </c>
      <c r="S212" s="39">
        <f t="shared" si="11"/>
        <v>0</v>
      </c>
      <c r="T212" s="30">
        <f t="shared" si="12"/>
        <v>1069</v>
      </c>
      <c r="U212" s="30">
        <f t="shared" si="13"/>
        <v>1668</v>
      </c>
      <c r="V212" s="30">
        <f t="shared" si="14"/>
        <v>464</v>
      </c>
      <c r="W212" s="30">
        <f t="shared" si="15"/>
        <v>27.8</v>
      </c>
      <c r="X212" s="31">
        <v>1200000.0</v>
      </c>
      <c r="Y212" s="30">
        <f t="shared" si="16"/>
        <v>1200000</v>
      </c>
      <c r="Z212" s="30">
        <f t="shared" si="17"/>
        <v>14</v>
      </c>
      <c r="AA212" s="30"/>
      <c r="AB212" s="30"/>
      <c r="AC212" s="30"/>
      <c r="AD212" s="30"/>
      <c r="AE212" s="30"/>
      <c r="AF212" s="30"/>
      <c r="AG212" s="30"/>
      <c r="AH212" s="30"/>
      <c r="AI212" s="30"/>
      <c r="AJ212" s="32"/>
      <c r="AK212" s="32"/>
      <c r="AL212" s="32"/>
    </row>
    <row r="213" ht="14.25" customHeight="1">
      <c r="A213" s="23">
        <v>212.0</v>
      </c>
      <c r="B213" s="24" t="s">
        <v>222</v>
      </c>
      <c r="C213" s="25" t="s">
        <v>223</v>
      </c>
      <c r="D213" s="24">
        <v>0.0</v>
      </c>
      <c r="E213" s="24"/>
      <c r="F213" s="24">
        <v>0.0</v>
      </c>
      <c r="G213" s="24"/>
      <c r="H213" s="24"/>
      <c r="I213" s="24">
        <v>6775.75</v>
      </c>
      <c r="J213" s="26">
        <v>1721.5500000000002</v>
      </c>
      <c r="K213" s="26"/>
      <c r="L213" s="26"/>
      <c r="M213" s="26"/>
      <c r="N213" s="26">
        <v>6.0</v>
      </c>
      <c r="O213" s="36">
        <f t="shared" si="1"/>
        <v>100</v>
      </c>
      <c r="P213" s="36">
        <f t="shared" si="18"/>
        <v>1822</v>
      </c>
      <c r="Q213" s="37">
        <f t="shared" si="19"/>
        <v>4954</v>
      </c>
      <c r="R213" s="38">
        <f t="shared" si="4"/>
        <v>267522</v>
      </c>
      <c r="S213" s="39">
        <f t="shared" si="11"/>
        <v>0</v>
      </c>
      <c r="T213" s="30">
        <f t="shared" si="12"/>
        <v>1330</v>
      </c>
      <c r="U213" s="30">
        <f t="shared" si="13"/>
        <v>1670</v>
      </c>
      <c r="V213" s="30">
        <f t="shared" si="14"/>
        <v>473</v>
      </c>
      <c r="W213" s="30">
        <f t="shared" si="15"/>
        <v>28.3</v>
      </c>
      <c r="X213" s="31">
        <v>1200000.0</v>
      </c>
      <c r="Y213" s="30">
        <f t="shared" si="16"/>
        <v>1200000</v>
      </c>
      <c r="Z213" s="30">
        <f t="shared" si="17"/>
        <v>14</v>
      </c>
      <c r="AA213" s="30"/>
      <c r="AB213" s="30"/>
      <c r="AC213" s="30"/>
      <c r="AD213" s="30"/>
      <c r="AE213" s="30"/>
      <c r="AF213" s="30"/>
      <c r="AG213" s="30"/>
      <c r="AH213" s="30"/>
      <c r="AI213" s="30"/>
      <c r="AJ213" s="32"/>
      <c r="AK213" s="32"/>
      <c r="AL213" s="32"/>
    </row>
    <row r="214" ht="14.25" customHeight="1">
      <c r="A214" s="23">
        <v>213.0</v>
      </c>
      <c r="B214" s="24" t="s">
        <v>30</v>
      </c>
      <c r="C214" s="25" t="s">
        <v>224</v>
      </c>
      <c r="D214" s="24">
        <v>0.0</v>
      </c>
      <c r="E214" s="24"/>
      <c r="F214" s="24">
        <v>0.0</v>
      </c>
      <c r="G214" s="24"/>
      <c r="H214" s="24"/>
      <c r="I214" s="24">
        <v>18638.0</v>
      </c>
      <c r="J214" s="26">
        <v>242.09000000000015</v>
      </c>
      <c r="K214" s="26"/>
      <c r="L214" s="26"/>
      <c r="M214" s="26"/>
      <c r="N214" s="26">
        <v>6.0</v>
      </c>
      <c r="O214" s="36">
        <f t="shared" si="1"/>
        <v>100</v>
      </c>
      <c r="P214" s="36">
        <f t="shared" si="18"/>
        <v>342</v>
      </c>
      <c r="Q214" s="37">
        <f t="shared" si="19"/>
        <v>18296</v>
      </c>
      <c r="R214" s="38">
        <f t="shared" si="4"/>
        <v>285818</v>
      </c>
      <c r="S214" s="39">
        <f t="shared" si="11"/>
        <v>0</v>
      </c>
      <c r="T214" s="30">
        <f t="shared" si="12"/>
        <v>1446</v>
      </c>
      <c r="U214" s="30">
        <f t="shared" si="13"/>
        <v>1868</v>
      </c>
      <c r="V214" s="30">
        <f t="shared" si="14"/>
        <v>461</v>
      </c>
      <c r="W214" s="30">
        <f t="shared" si="15"/>
        <v>24.7</v>
      </c>
      <c r="X214" s="31">
        <v>1200000.0</v>
      </c>
      <c r="Y214" s="30">
        <f t="shared" si="16"/>
        <v>1200000</v>
      </c>
      <c r="Z214" s="30">
        <f t="shared" si="17"/>
        <v>16</v>
      </c>
      <c r="AA214" s="30"/>
      <c r="AB214" s="30"/>
      <c r="AC214" s="30"/>
      <c r="AD214" s="30"/>
      <c r="AE214" s="30"/>
      <c r="AF214" s="30"/>
      <c r="AG214" s="30"/>
      <c r="AH214" s="30"/>
      <c r="AI214" s="30"/>
      <c r="AJ214" s="32"/>
      <c r="AK214" s="32"/>
      <c r="AL214" s="32"/>
    </row>
    <row r="215" ht="14.25" customHeight="1">
      <c r="A215" s="23">
        <v>214.0</v>
      </c>
      <c r="B215" s="24" t="s">
        <v>26</v>
      </c>
      <c r="C215" s="25" t="s">
        <v>225</v>
      </c>
      <c r="D215" s="24">
        <v>0.0</v>
      </c>
      <c r="E215" s="24"/>
      <c r="F215" s="24">
        <v>0.0</v>
      </c>
      <c r="G215" s="24"/>
      <c r="H215" s="24"/>
      <c r="I215" s="24">
        <v>38196.25</v>
      </c>
      <c r="J215" s="26">
        <v>179.95000000000073</v>
      </c>
      <c r="K215" s="26"/>
      <c r="L215" s="26"/>
      <c r="M215" s="26"/>
      <c r="N215" s="26">
        <v>8.0</v>
      </c>
      <c r="O215" s="36">
        <f t="shared" si="1"/>
        <v>125</v>
      </c>
      <c r="P215" s="36">
        <f t="shared" si="18"/>
        <v>305</v>
      </c>
      <c r="Q215" s="37">
        <f t="shared" si="19"/>
        <v>37891</v>
      </c>
      <c r="R215" s="38">
        <f t="shared" si="4"/>
        <v>323709</v>
      </c>
      <c r="S215" s="39">
        <f t="shared" si="11"/>
        <v>0</v>
      </c>
      <c r="T215" s="30">
        <f t="shared" si="12"/>
        <v>2159</v>
      </c>
      <c r="U215" s="30">
        <f t="shared" si="13"/>
        <v>2173</v>
      </c>
      <c r="V215" s="30">
        <f t="shared" si="14"/>
        <v>450</v>
      </c>
      <c r="W215" s="30">
        <f t="shared" si="15"/>
        <v>20.7</v>
      </c>
      <c r="X215" s="31">
        <v>1200000.0</v>
      </c>
      <c r="Y215" s="30">
        <f t="shared" si="16"/>
        <v>1200000</v>
      </c>
      <c r="Z215" s="30">
        <f t="shared" si="17"/>
        <v>18</v>
      </c>
      <c r="AA215" s="30"/>
      <c r="AB215" s="30"/>
      <c r="AC215" s="30"/>
      <c r="AD215" s="30"/>
      <c r="AE215" s="30"/>
      <c r="AF215" s="30"/>
      <c r="AG215" s="30"/>
      <c r="AH215" s="30"/>
      <c r="AI215" s="30"/>
      <c r="AJ215" s="32"/>
      <c r="AK215" s="32"/>
      <c r="AL215" s="32"/>
    </row>
    <row r="216" ht="14.25" customHeight="1">
      <c r="A216" s="23">
        <v>215.0</v>
      </c>
      <c r="B216" s="24" t="s">
        <v>27</v>
      </c>
      <c r="C216" s="25" t="s">
        <v>226</v>
      </c>
      <c r="D216" s="24">
        <v>0.0</v>
      </c>
      <c r="E216" s="24"/>
      <c r="F216" s="24">
        <v>0.0</v>
      </c>
      <c r="G216" s="24"/>
      <c r="H216" s="24"/>
      <c r="I216" s="24">
        <v>792.0</v>
      </c>
      <c r="J216" s="26">
        <v>319.33</v>
      </c>
      <c r="K216" s="26"/>
      <c r="L216" s="26"/>
      <c r="M216" s="26"/>
      <c r="N216" s="26">
        <v>8.0</v>
      </c>
      <c r="O216" s="36">
        <f t="shared" si="1"/>
        <v>125</v>
      </c>
      <c r="P216" s="36">
        <f t="shared" si="18"/>
        <v>444</v>
      </c>
      <c r="Q216" s="37">
        <f t="shared" si="19"/>
        <v>348</v>
      </c>
      <c r="R216" s="38">
        <f t="shared" si="4"/>
        <v>324057</v>
      </c>
      <c r="S216" s="39">
        <f t="shared" si="11"/>
        <v>0</v>
      </c>
      <c r="T216" s="30">
        <f t="shared" si="12"/>
        <v>2194</v>
      </c>
      <c r="U216" s="30">
        <f t="shared" si="13"/>
        <v>2098</v>
      </c>
      <c r="V216" s="30">
        <f t="shared" si="14"/>
        <v>451</v>
      </c>
      <c r="W216" s="30">
        <f t="shared" si="15"/>
        <v>21.5</v>
      </c>
      <c r="X216" s="31">
        <v>1200000.0</v>
      </c>
      <c r="Y216" s="30">
        <f t="shared" si="16"/>
        <v>1200000</v>
      </c>
      <c r="Z216" s="30">
        <f t="shared" si="17"/>
        <v>17</v>
      </c>
      <c r="AA216" s="30"/>
      <c r="AB216" s="30"/>
      <c r="AC216" s="30"/>
      <c r="AD216" s="30"/>
      <c r="AE216" s="30"/>
      <c r="AF216" s="30"/>
      <c r="AG216" s="30"/>
      <c r="AH216" s="30"/>
      <c r="AI216" s="30"/>
      <c r="AJ216" s="32"/>
      <c r="AK216" s="32"/>
      <c r="AL216" s="32"/>
    </row>
    <row r="217" ht="14.25" customHeight="1">
      <c r="A217" s="23">
        <v>216.0</v>
      </c>
      <c r="B217" s="24" t="s">
        <v>28</v>
      </c>
      <c r="C217" s="25" t="s">
        <v>227</v>
      </c>
      <c r="D217" s="24">
        <v>0.0</v>
      </c>
      <c r="E217" s="24"/>
      <c r="F217" s="24">
        <v>0.0</v>
      </c>
      <c r="G217" s="24"/>
      <c r="H217" s="24"/>
      <c r="I217" s="24">
        <v>-3620.5</v>
      </c>
      <c r="J217" s="26">
        <v>614.3699999999999</v>
      </c>
      <c r="K217" s="26"/>
      <c r="L217" s="26"/>
      <c r="M217" s="26"/>
      <c r="N217" s="26">
        <v>8.0</v>
      </c>
      <c r="O217" s="36">
        <f t="shared" si="1"/>
        <v>125</v>
      </c>
      <c r="P217" s="36">
        <f t="shared" si="18"/>
        <v>739</v>
      </c>
      <c r="Q217" s="37">
        <f t="shared" si="19"/>
        <v>-4360</v>
      </c>
      <c r="R217" s="38">
        <f t="shared" si="4"/>
        <v>319697</v>
      </c>
      <c r="S217" s="39">
        <f t="shared" si="11"/>
        <v>-4360</v>
      </c>
      <c r="T217" s="30">
        <f t="shared" si="12"/>
        <v>2198</v>
      </c>
      <c r="U217" s="30">
        <f t="shared" si="13"/>
        <v>1918</v>
      </c>
      <c r="V217" s="30">
        <f t="shared" si="14"/>
        <v>457</v>
      </c>
      <c r="W217" s="30">
        <f t="shared" si="15"/>
        <v>23.8</v>
      </c>
      <c r="X217" s="31">
        <v>1200000.0</v>
      </c>
      <c r="Y217" s="30">
        <f t="shared" si="16"/>
        <v>1200000</v>
      </c>
      <c r="Z217" s="30">
        <f t="shared" si="17"/>
        <v>16</v>
      </c>
      <c r="AA217" s="30"/>
      <c r="AB217" s="30"/>
      <c r="AC217" s="30"/>
      <c r="AD217" s="30"/>
      <c r="AE217" s="30"/>
      <c r="AF217" s="30"/>
      <c r="AG217" s="30"/>
      <c r="AH217" s="30"/>
      <c r="AI217" s="30"/>
      <c r="AJ217" s="32"/>
      <c r="AK217" s="32"/>
      <c r="AL217" s="32"/>
    </row>
    <row r="218" ht="14.25" customHeight="1">
      <c r="A218" s="23">
        <v>217.0</v>
      </c>
      <c r="B218" s="24" t="s">
        <v>29</v>
      </c>
      <c r="C218" s="25" t="s">
        <v>228</v>
      </c>
      <c r="D218" s="24">
        <v>0.0</v>
      </c>
      <c r="E218" s="24"/>
      <c r="F218" s="24">
        <v>0.0</v>
      </c>
      <c r="G218" s="24"/>
      <c r="H218" s="24"/>
      <c r="I218" s="24">
        <v>-3164.25</v>
      </c>
      <c r="J218" s="26">
        <v>635.0999999999999</v>
      </c>
      <c r="K218" s="26"/>
      <c r="L218" s="26"/>
      <c r="M218" s="26"/>
      <c r="N218" s="26">
        <v>8.0</v>
      </c>
      <c r="O218" s="36">
        <f t="shared" si="1"/>
        <v>125</v>
      </c>
      <c r="P218" s="36">
        <f t="shared" si="18"/>
        <v>760</v>
      </c>
      <c r="Q218" s="37">
        <f t="shared" si="19"/>
        <v>-3924</v>
      </c>
      <c r="R218" s="38">
        <f t="shared" si="4"/>
        <v>315773</v>
      </c>
      <c r="S218" s="39">
        <f t="shared" si="11"/>
        <v>-8284</v>
      </c>
      <c r="T218" s="30">
        <f t="shared" si="12"/>
        <v>2401</v>
      </c>
      <c r="U218" s="30">
        <f t="shared" si="13"/>
        <v>1906</v>
      </c>
      <c r="V218" s="30">
        <f t="shared" si="14"/>
        <v>461</v>
      </c>
      <c r="W218" s="30">
        <f t="shared" si="15"/>
        <v>24.2</v>
      </c>
      <c r="X218" s="31">
        <v>1200000.0</v>
      </c>
      <c r="Y218" s="30">
        <f t="shared" si="16"/>
        <v>1200000</v>
      </c>
      <c r="Z218" s="30">
        <f t="shared" si="17"/>
        <v>16</v>
      </c>
      <c r="AA218" s="30"/>
      <c r="AB218" s="30"/>
      <c r="AC218" s="30"/>
      <c r="AD218" s="30"/>
      <c r="AE218" s="30"/>
      <c r="AF218" s="30"/>
      <c r="AG218" s="30"/>
      <c r="AH218" s="30"/>
      <c r="AI218" s="30"/>
      <c r="AJ218" s="32"/>
      <c r="AK218" s="32"/>
      <c r="AL218" s="32"/>
    </row>
    <row r="219" ht="14.25" customHeight="1">
      <c r="A219" s="23">
        <v>218.0</v>
      </c>
      <c r="B219" s="24" t="s">
        <v>30</v>
      </c>
      <c r="C219" s="25" t="s">
        <v>229</v>
      </c>
      <c r="D219" s="24">
        <v>0.0</v>
      </c>
      <c r="E219" s="24"/>
      <c r="F219" s="24">
        <v>0.0</v>
      </c>
      <c r="G219" s="24"/>
      <c r="H219" s="24"/>
      <c r="I219" s="24">
        <v>-1100.0</v>
      </c>
      <c r="J219" s="26">
        <v>106.40999999999985</v>
      </c>
      <c r="K219" s="26"/>
      <c r="L219" s="26"/>
      <c r="M219" s="26"/>
      <c r="N219" s="26">
        <v>8.0</v>
      </c>
      <c r="O219" s="36">
        <f t="shared" si="1"/>
        <v>125</v>
      </c>
      <c r="P219" s="36">
        <f t="shared" si="18"/>
        <v>231</v>
      </c>
      <c r="Q219" s="37">
        <f t="shared" si="19"/>
        <v>-1331</v>
      </c>
      <c r="R219" s="38">
        <f t="shared" si="4"/>
        <v>314442</v>
      </c>
      <c r="S219" s="39">
        <f t="shared" si="11"/>
        <v>-9615</v>
      </c>
      <c r="T219" s="30">
        <f t="shared" si="12"/>
        <v>2447</v>
      </c>
      <c r="U219" s="30">
        <f t="shared" si="13"/>
        <v>1833</v>
      </c>
      <c r="V219" s="30">
        <f t="shared" si="14"/>
        <v>462</v>
      </c>
      <c r="W219" s="30">
        <f t="shared" si="15"/>
        <v>25.2</v>
      </c>
      <c r="X219" s="31">
        <v>1200000.0</v>
      </c>
      <c r="Y219" s="30">
        <f t="shared" si="16"/>
        <v>1200000</v>
      </c>
      <c r="Z219" s="30">
        <f t="shared" si="17"/>
        <v>15</v>
      </c>
      <c r="AA219" s="30"/>
      <c r="AB219" s="30"/>
      <c r="AC219" s="30"/>
      <c r="AD219" s="30"/>
      <c r="AE219" s="30"/>
      <c r="AF219" s="30"/>
      <c r="AG219" s="30"/>
      <c r="AH219" s="30"/>
      <c r="AI219" s="30"/>
      <c r="AJ219" s="32"/>
      <c r="AK219" s="32"/>
      <c r="AL219" s="32"/>
    </row>
    <row r="220" ht="14.25" customHeight="1">
      <c r="A220" s="23">
        <v>219.0</v>
      </c>
      <c r="B220" s="24" t="s">
        <v>26</v>
      </c>
      <c r="C220" s="25" t="s">
        <v>230</v>
      </c>
      <c r="D220" s="24">
        <v>0.0</v>
      </c>
      <c r="E220" s="24"/>
      <c r="F220" s="24">
        <v>0.0</v>
      </c>
      <c r="G220" s="24"/>
      <c r="H220" s="24"/>
      <c r="I220" s="24">
        <v>5517.0</v>
      </c>
      <c r="J220" s="26">
        <v>139.26000000000022</v>
      </c>
      <c r="K220" s="26"/>
      <c r="L220" s="26"/>
      <c r="M220" s="26"/>
      <c r="N220" s="26">
        <v>8.0</v>
      </c>
      <c r="O220" s="36">
        <f t="shared" si="1"/>
        <v>125</v>
      </c>
      <c r="P220" s="36">
        <f t="shared" si="18"/>
        <v>264</v>
      </c>
      <c r="Q220" s="37">
        <f t="shared" si="19"/>
        <v>5253</v>
      </c>
      <c r="R220" s="38">
        <f t="shared" si="4"/>
        <v>319695</v>
      </c>
      <c r="S220" s="39">
        <f t="shared" si="11"/>
        <v>-4362</v>
      </c>
      <c r="T220" s="30">
        <f t="shared" si="12"/>
        <v>2424</v>
      </c>
      <c r="U220" s="30">
        <f t="shared" si="13"/>
        <v>1834</v>
      </c>
      <c r="V220" s="30">
        <f t="shared" si="14"/>
        <v>461</v>
      </c>
      <c r="W220" s="30">
        <f t="shared" si="15"/>
        <v>25.1</v>
      </c>
      <c r="X220" s="31">
        <v>1200000.0</v>
      </c>
      <c r="Y220" s="30">
        <f t="shared" si="16"/>
        <v>1200000</v>
      </c>
      <c r="Z220" s="30">
        <f t="shared" si="17"/>
        <v>15</v>
      </c>
      <c r="AA220" s="30"/>
      <c r="AB220" s="30"/>
      <c r="AC220" s="30"/>
      <c r="AD220" s="30"/>
      <c r="AE220" s="30"/>
      <c r="AF220" s="30"/>
      <c r="AG220" s="30"/>
      <c r="AH220" s="30"/>
      <c r="AI220" s="30"/>
      <c r="AJ220" s="32"/>
      <c r="AK220" s="32"/>
      <c r="AL220" s="32"/>
    </row>
    <row r="221" ht="14.25" customHeight="1">
      <c r="A221" s="23">
        <v>220.0</v>
      </c>
      <c r="B221" s="24" t="s">
        <v>27</v>
      </c>
      <c r="C221" s="25" t="s">
        <v>231</v>
      </c>
      <c r="D221" s="24">
        <v>0.0</v>
      </c>
      <c r="E221" s="24"/>
      <c r="F221" s="24">
        <v>0.0</v>
      </c>
      <c r="G221" s="24"/>
      <c r="H221" s="24"/>
      <c r="I221" s="24">
        <v>6965.0</v>
      </c>
      <c r="J221" s="26">
        <v>134.35000000000036</v>
      </c>
      <c r="K221" s="26"/>
      <c r="L221" s="26"/>
      <c r="M221" s="26"/>
      <c r="N221" s="26">
        <v>8.0</v>
      </c>
      <c r="O221" s="36">
        <f t="shared" si="1"/>
        <v>125</v>
      </c>
      <c r="P221" s="36">
        <f t="shared" si="18"/>
        <v>259</v>
      </c>
      <c r="Q221" s="37">
        <f t="shared" si="19"/>
        <v>6706</v>
      </c>
      <c r="R221" s="38">
        <f t="shared" si="4"/>
        <v>326401</v>
      </c>
      <c r="S221" s="39">
        <f t="shared" si="11"/>
        <v>0</v>
      </c>
      <c r="T221" s="30">
        <f t="shared" si="12"/>
        <v>2632</v>
      </c>
      <c r="U221" s="30">
        <f t="shared" si="13"/>
        <v>1915</v>
      </c>
      <c r="V221" s="30">
        <f t="shared" si="14"/>
        <v>462</v>
      </c>
      <c r="W221" s="30">
        <f t="shared" si="15"/>
        <v>24.1</v>
      </c>
      <c r="X221" s="31">
        <v>1200000.0</v>
      </c>
      <c r="Y221" s="30">
        <f t="shared" si="16"/>
        <v>1200000</v>
      </c>
      <c r="Z221" s="30">
        <f t="shared" si="17"/>
        <v>16</v>
      </c>
      <c r="AA221" s="30"/>
      <c r="AB221" s="30"/>
      <c r="AC221" s="30"/>
      <c r="AD221" s="30"/>
      <c r="AE221" s="30"/>
      <c r="AF221" s="30"/>
      <c r="AG221" s="30"/>
      <c r="AH221" s="30"/>
      <c r="AI221" s="30"/>
      <c r="AJ221" s="32"/>
      <c r="AK221" s="32"/>
      <c r="AL221" s="32"/>
    </row>
    <row r="222" ht="14.25" customHeight="1">
      <c r="A222" s="23">
        <v>221.0</v>
      </c>
      <c r="B222" s="24" t="s">
        <v>28</v>
      </c>
      <c r="C222" s="25" t="s">
        <v>232</v>
      </c>
      <c r="D222" s="24">
        <v>0.0</v>
      </c>
      <c r="E222" s="24"/>
      <c r="F222" s="24">
        <v>0.0</v>
      </c>
      <c r="G222" s="24"/>
      <c r="H222" s="24"/>
      <c r="I222" s="24">
        <v>7102.75</v>
      </c>
      <c r="J222" s="26">
        <v>246.19999999999982</v>
      </c>
      <c r="K222" s="26"/>
      <c r="L222" s="26"/>
      <c r="M222" s="26"/>
      <c r="N222" s="26">
        <v>8.0</v>
      </c>
      <c r="O222" s="36">
        <f t="shared" si="1"/>
        <v>125</v>
      </c>
      <c r="P222" s="36">
        <f t="shared" si="18"/>
        <v>371</v>
      </c>
      <c r="Q222" s="37">
        <f t="shared" si="19"/>
        <v>6732</v>
      </c>
      <c r="R222" s="38">
        <f t="shared" si="4"/>
        <v>333133</v>
      </c>
      <c r="S222" s="39">
        <f t="shared" si="11"/>
        <v>0</v>
      </c>
      <c r="T222" s="30">
        <f t="shared" si="12"/>
        <v>2629</v>
      </c>
      <c r="U222" s="30">
        <f t="shared" si="13"/>
        <v>1943</v>
      </c>
      <c r="V222" s="30">
        <f t="shared" si="14"/>
        <v>463</v>
      </c>
      <c r="W222" s="30">
        <f t="shared" si="15"/>
        <v>23.8</v>
      </c>
      <c r="X222" s="31">
        <v>1200000.0</v>
      </c>
      <c r="Y222" s="30">
        <f t="shared" si="16"/>
        <v>1200000</v>
      </c>
      <c r="Z222" s="30">
        <f t="shared" si="17"/>
        <v>16</v>
      </c>
      <c r="AA222" s="30"/>
      <c r="AB222" s="30"/>
      <c r="AC222" s="30"/>
      <c r="AD222" s="30"/>
      <c r="AE222" s="30"/>
      <c r="AF222" s="30"/>
      <c r="AG222" s="30"/>
      <c r="AH222" s="30"/>
      <c r="AI222" s="30"/>
      <c r="AJ222" s="32"/>
      <c r="AK222" s="32"/>
      <c r="AL222" s="32"/>
    </row>
    <row r="223" ht="14.25" customHeight="1">
      <c r="A223" s="23">
        <v>222.0</v>
      </c>
      <c r="B223" s="24" t="s">
        <v>29</v>
      </c>
      <c r="C223" s="25" t="s">
        <v>233</v>
      </c>
      <c r="D223" s="24">
        <v>0.0</v>
      </c>
      <c r="E223" s="24"/>
      <c r="F223" s="24">
        <v>0.0</v>
      </c>
      <c r="G223" s="24"/>
      <c r="H223" s="24"/>
      <c r="I223" s="24">
        <v>-14390.5</v>
      </c>
      <c r="J223" s="26">
        <v>777.0499999999993</v>
      </c>
      <c r="K223" s="26"/>
      <c r="L223" s="26"/>
      <c r="M223" s="26"/>
      <c r="N223" s="26">
        <v>8.0</v>
      </c>
      <c r="O223" s="36">
        <f t="shared" si="1"/>
        <v>125</v>
      </c>
      <c r="P223" s="36">
        <f t="shared" si="18"/>
        <v>902</v>
      </c>
      <c r="Q223" s="37">
        <f t="shared" si="19"/>
        <v>-15293</v>
      </c>
      <c r="R223" s="38">
        <f t="shared" si="4"/>
        <v>317840</v>
      </c>
      <c r="S223" s="39">
        <f t="shared" si="11"/>
        <v>-15293</v>
      </c>
      <c r="T223" s="30">
        <f t="shared" si="12"/>
        <v>2261</v>
      </c>
      <c r="U223" s="30">
        <f t="shared" si="13"/>
        <v>1712</v>
      </c>
      <c r="V223" s="30">
        <f t="shared" si="14"/>
        <v>470</v>
      </c>
      <c r="W223" s="30">
        <f t="shared" si="15"/>
        <v>27.5</v>
      </c>
      <c r="X223" s="31">
        <v>1200000.0</v>
      </c>
      <c r="Y223" s="30">
        <f t="shared" si="16"/>
        <v>1200000</v>
      </c>
      <c r="Z223" s="30">
        <f t="shared" si="17"/>
        <v>14</v>
      </c>
      <c r="AA223" s="30"/>
      <c r="AB223" s="30"/>
      <c r="AC223" s="30"/>
      <c r="AD223" s="30"/>
      <c r="AE223" s="30"/>
      <c r="AF223" s="30"/>
      <c r="AG223" s="30"/>
      <c r="AH223" s="30"/>
      <c r="AI223" s="30"/>
      <c r="AJ223" s="32"/>
      <c r="AK223" s="32"/>
      <c r="AL223" s="32"/>
    </row>
    <row r="224" ht="14.25" customHeight="1">
      <c r="A224" s="23">
        <v>223.0</v>
      </c>
      <c r="B224" s="24" t="s">
        <v>30</v>
      </c>
      <c r="C224" s="25" t="s">
        <v>234</v>
      </c>
      <c r="D224" s="24">
        <v>0.0</v>
      </c>
      <c r="E224" s="24"/>
      <c r="F224" s="24">
        <v>0.0</v>
      </c>
      <c r="G224" s="24"/>
      <c r="H224" s="24"/>
      <c r="I224" s="24">
        <v>-400.0</v>
      </c>
      <c r="J224" s="26">
        <v>1282.29</v>
      </c>
      <c r="K224" s="26"/>
      <c r="L224" s="26"/>
      <c r="M224" s="26"/>
      <c r="N224" s="26">
        <v>14.0</v>
      </c>
      <c r="O224" s="36">
        <f t="shared" si="1"/>
        <v>200</v>
      </c>
      <c r="P224" s="36">
        <f t="shared" si="18"/>
        <v>1482</v>
      </c>
      <c r="Q224" s="37">
        <f t="shared" si="19"/>
        <v>-1882</v>
      </c>
      <c r="R224" s="38">
        <f t="shared" si="4"/>
        <v>315958</v>
      </c>
      <c r="S224" s="39">
        <f t="shared" si="11"/>
        <v>-17175</v>
      </c>
      <c r="T224" s="30">
        <f t="shared" si="12"/>
        <v>2225</v>
      </c>
      <c r="U224" s="30">
        <f t="shared" si="13"/>
        <v>1693</v>
      </c>
      <c r="V224" s="30">
        <f t="shared" si="14"/>
        <v>482</v>
      </c>
      <c r="W224" s="30">
        <f t="shared" si="15"/>
        <v>28.5</v>
      </c>
      <c r="X224" s="31">
        <v>1200000.0</v>
      </c>
      <c r="Y224" s="30">
        <f t="shared" si="16"/>
        <v>1200000</v>
      </c>
      <c r="Z224" s="30">
        <f t="shared" si="17"/>
        <v>14</v>
      </c>
      <c r="AA224" s="30"/>
      <c r="AB224" s="30"/>
      <c r="AC224" s="30"/>
      <c r="AD224" s="30"/>
      <c r="AE224" s="30"/>
      <c r="AF224" s="30"/>
      <c r="AG224" s="30"/>
      <c r="AH224" s="30"/>
      <c r="AI224" s="30"/>
      <c r="AJ224" s="32"/>
      <c r="AK224" s="32"/>
      <c r="AL224" s="32"/>
    </row>
    <row r="225" ht="14.25" customHeight="1">
      <c r="A225" s="23">
        <v>224.0</v>
      </c>
      <c r="B225" s="24" t="s">
        <v>26</v>
      </c>
      <c r="C225" s="25" t="s">
        <v>235</v>
      </c>
      <c r="D225" s="24">
        <v>0.0</v>
      </c>
      <c r="E225" s="24"/>
      <c r="F225" s="24">
        <v>0.0</v>
      </c>
      <c r="G225" s="24"/>
      <c r="H225" s="24"/>
      <c r="I225" s="24">
        <v>-100.0</v>
      </c>
      <c r="J225" s="26">
        <v>578.92</v>
      </c>
      <c r="K225" s="26"/>
      <c r="L225" s="26"/>
      <c r="M225" s="26"/>
      <c r="N225" s="26">
        <v>14.0</v>
      </c>
      <c r="O225" s="36">
        <f t="shared" si="1"/>
        <v>200</v>
      </c>
      <c r="P225" s="36">
        <f t="shared" si="18"/>
        <v>779</v>
      </c>
      <c r="Q225" s="37">
        <f t="shared" si="19"/>
        <v>-879</v>
      </c>
      <c r="R225" s="38">
        <f t="shared" si="4"/>
        <v>315079</v>
      </c>
      <c r="S225" s="39">
        <f t="shared" si="11"/>
        <v>-18054</v>
      </c>
      <c r="T225" s="30">
        <f t="shared" si="12"/>
        <v>2213</v>
      </c>
      <c r="U225" s="30">
        <f t="shared" si="13"/>
        <v>1660</v>
      </c>
      <c r="V225" s="30">
        <f t="shared" si="14"/>
        <v>486</v>
      </c>
      <c r="W225" s="30">
        <f t="shared" si="15"/>
        <v>29.3</v>
      </c>
      <c r="X225" s="31">
        <v>1200000.0</v>
      </c>
      <c r="Y225" s="30">
        <f t="shared" si="16"/>
        <v>1200000</v>
      </c>
      <c r="Z225" s="30">
        <f t="shared" si="17"/>
        <v>14</v>
      </c>
      <c r="AA225" s="30"/>
      <c r="AB225" s="30"/>
      <c r="AC225" s="30"/>
      <c r="AD225" s="30"/>
      <c r="AE225" s="30"/>
      <c r="AF225" s="30"/>
      <c r="AG225" s="30"/>
      <c r="AH225" s="30"/>
      <c r="AI225" s="30"/>
      <c r="AJ225" s="32"/>
      <c r="AK225" s="32"/>
      <c r="AL225" s="32"/>
    </row>
    <row r="226" ht="14.25" customHeight="1">
      <c r="A226" s="23">
        <v>225.0</v>
      </c>
      <c r="B226" s="24" t="s">
        <v>27</v>
      </c>
      <c r="C226" s="25" t="s">
        <v>236</v>
      </c>
      <c r="D226" s="24">
        <v>0.0</v>
      </c>
      <c r="E226" s="24"/>
      <c r="F226" s="24">
        <v>0.0</v>
      </c>
      <c r="G226" s="24"/>
      <c r="H226" s="24"/>
      <c r="I226" s="24">
        <v>1558.75</v>
      </c>
      <c r="J226" s="26">
        <v>643.1</v>
      </c>
      <c r="K226" s="26"/>
      <c r="L226" s="26"/>
      <c r="M226" s="26"/>
      <c r="N226" s="26">
        <v>14.0</v>
      </c>
      <c r="O226" s="36">
        <f t="shared" si="1"/>
        <v>200</v>
      </c>
      <c r="P226" s="36">
        <f t="shared" si="18"/>
        <v>843</v>
      </c>
      <c r="Q226" s="37">
        <f t="shared" si="19"/>
        <v>716</v>
      </c>
      <c r="R226" s="38">
        <f t="shared" si="4"/>
        <v>315795</v>
      </c>
      <c r="S226" s="39">
        <f t="shared" si="11"/>
        <v>-17338</v>
      </c>
      <c r="T226" s="30">
        <f t="shared" si="12"/>
        <v>2228</v>
      </c>
      <c r="U226" s="30">
        <f t="shared" si="13"/>
        <v>1603</v>
      </c>
      <c r="V226" s="30">
        <f t="shared" si="14"/>
        <v>492</v>
      </c>
      <c r="W226" s="30">
        <f t="shared" si="15"/>
        <v>30.7</v>
      </c>
      <c r="X226" s="31">
        <v>1200000.0</v>
      </c>
      <c r="Y226" s="30">
        <f t="shared" si="16"/>
        <v>1200000</v>
      </c>
      <c r="Z226" s="30">
        <f t="shared" si="17"/>
        <v>13</v>
      </c>
      <c r="AA226" s="30"/>
      <c r="AB226" s="30"/>
      <c r="AC226" s="30"/>
      <c r="AD226" s="30"/>
      <c r="AE226" s="30"/>
      <c r="AF226" s="30"/>
      <c r="AG226" s="30"/>
      <c r="AH226" s="30"/>
      <c r="AI226" s="30"/>
      <c r="AJ226" s="32"/>
      <c r="AK226" s="32"/>
      <c r="AL226" s="32"/>
    </row>
    <row r="227" ht="14.25" customHeight="1">
      <c r="A227" s="23">
        <v>226.0</v>
      </c>
      <c r="B227" s="24" t="s">
        <v>28</v>
      </c>
      <c r="C227" s="25" t="s">
        <v>237</v>
      </c>
      <c r="D227" s="24">
        <v>0.0</v>
      </c>
      <c r="E227" s="24"/>
      <c r="F227" s="24">
        <v>0.0</v>
      </c>
      <c r="G227" s="24"/>
      <c r="H227" s="24"/>
      <c r="I227" s="24">
        <v>-5560.25</v>
      </c>
      <c r="J227" s="26">
        <v>2416.6500000000015</v>
      </c>
      <c r="K227" s="26"/>
      <c r="L227" s="26"/>
      <c r="M227" s="26"/>
      <c r="N227" s="26">
        <v>14.0</v>
      </c>
      <c r="O227" s="36">
        <f t="shared" si="1"/>
        <v>200</v>
      </c>
      <c r="P227" s="36">
        <f t="shared" si="18"/>
        <v>2617</v>
      </c>
      <c r="Q227" s="37">
        <f t="shared" si="19"/>
        <v>-8177</v>
      </c>
      <c r="R227" s="38">
        <f t="shared" si="4"/>
        <v>307618</v>
      </c>
      <c r="S227" s="39">
        <f t="shared" si="11"/>
        <v>-25515</v>
      </c>
      <c r="T227" s="30">
        <f t="shared" si="12"/>
        <v>1924</v>
      </c>
      <c r="U227" s="30">
        <f t="shared" si="13"/>
        <v>1515</v>
      </c>
      <c r="V227" s="30">
        <f t="shared" si="14"/>
        <v>509</v>
      </c>
      <c r="W227" s="30">
        <f t="shared" si="15"/>
        <v>33.6</v>
      </c>
      <c r="X227" s="31">
        <v>1200000.0</v>
      </c>
      <c r="Y227" s="30">
        <f t="shared" si="16"/>
        <v>1200000</v>
      </c>
      <c r="Z227" s="30">
        <f t="shared" si="17"/>
        <v>13</v>
      </c>
      <c r="AA227" s="30"/>
      <c r="AB227" s="30"/>
      <c r="AC227" s="30"/>
      <c r="AD227" s="30"/>
      <c r="AE227" s="30"/>
      <c r="AF227" s="30"/>
      <c r="AG227" s="30"/>
      <c r="AH227" s="30"/>
      <c r="AI227" s="30"/>
      <c r="AJ227" s="32"/>
      <c r="AK227" s="32"/>
      <c r="AL227" s="32"/>
    </row>
    <row r="228" ht="14.25" customHeight="1">
      <c r="A228" s="23">
        <v>227.0</v>
      </c>
      <c r="B228" s="24" t="s">
        <v>29</v>
      </c>
      <c r="C228" s="25" t="s">
        <v>238</v>
      </c>
      <c r="D228" s="24">
        <v>0.0</v>
      </c>
      <c r="E228" s="24"/>
      <c r="F228" s="24">
        <v>0.0</v>
      </c>
      <c r="G228" s="24"/>
      <c r="H228" s="24"/>
      <c r="I228" s="24">
        <v>-3481.25</v>
      </c>
      <c r="J228" s="26">
        <v>641.5299999999997</v>
      </c>
      <c r="K228" s="26"/>
      <c r="L228" s="26"/>
      <c r="M228" s="26"/>
      <c r="N228" s="26">
        <v>14.0</v>
      </c>
      <c r="O228" s="36">
        <f t="shared" si="1"/>
        <v>200</v>
      </c>
      <c r="P228" s="36">
        <f t="shared" si="18"/>
        <v>842</v>
      </c>
      <c r="Q228" s="37">
        <f t="shared" si="19"/>
        <v>-4323</v>
      </c>
      <c r="R228" s="38">
        <f t="shared" si="4"/>
        <v>303295</v>
      </c>
      <c r="S228" s="39">
        <f t="shared" si="11"/>
        <v>-29838</v>
      </c>
      <c r="T228" s="30">
        <f t="shared" si="12"/>
        <v>1908</v>
      </c>
      <c r="U228" s="30">
        <f t="shared" si="13"/>
        <v>1430</v>
      </c>
      <c r="V228" s="30">
        <f t="shared" si="14"/>
        <v>509</v>
      </c>
      <c r="W228" s="30">
        <f t="shared" si="15"/>
        <v>35.6</v>
      </c>
      <c r="X228" s="31">
        <v>1200000.0</v>
      </c>
      <c r="Y228" s="30">
        <f t="shared" si="16"/>
        <v>1200000</v>
      </c>
      <c r="Z228" s="30">
        <f t="shared" si="17"/>
        <v>12</v>
      </c>
      <c r="AA228" s="30"/>
      <c r="AB228" s="30"/>
      <c r="AC228" s="30"/>
      <c r="AD228" s="30"/>
      <c r="AE228" s="30"/>
      <c r="AF228" s="30"/>
      <c r="AG228" s="30"/>
      <c r="AH228" s="30"/>
      <c r="AI228" s="30"/>
      <c r="AJ228" s="32"/>
      <c r="AK228" s="32"/>
      <c r="AL228" s="32"/>
    </row>
    <row r="229" ht="14.25" customHeight="1">
      <c r="A229" s="23">
        <v>228.0</v>
      </c>
      <c r="B229" s="24" t="s">
        <v>30</v>
      </c>
      <c r="C229" s="25" t="s">
        <v>239</v>
      </c>
      <c r="D229" s="24">
        <v>0.0</v>
      </c>
      <c r="E229" s="24"/>
      <c r="F229" s="24">
        <v>0.0</v>
      </c>
      <c r="G229" s="24"/>
      <c r="H229" s="24"/>
      <c r="I229" s="24">
        <v>6621.25</v>
      </c>
      <c r="J229" s="26">
        <v>154.44999999999982</v>
      </c>
      <c r="K229" s="26"/>
      <c r="L229" s="26"/>
      <c r="M229" s="26"/>
      <c r="N229" s="26">
        <v>14.0</v>
      </c>
      <c r="O229" s="36">
        <f t="shared" si="1"/>
        <v>200</v>
      </c>
      <c r="P229" s="36">
        <f t="shared" si="18"/>
        <v>354</v>
      </c>
      <c r="Q229" s="37">
        <f t="shared" si="19"/>
        <v>6267</v>
      </c>
      <c r="R229" s="38">
        <f t="shared" si="4"/>
        <v>309562</v>
      </c>
      <c r="S229" s="39">
        <f t="shared" si="11"/>
        <v>-23571</v>
      </c>
      <c r="T229" s="30">
        <f t="shared" si="12"/>
        <v>2050</v>
      </c>
      <c r="U229" s="30">
        <f t="shared" si="13"/>
        <v>1492</v>
      </c>
      <c r="V229" s="30">
        <f t="shared" si="14"/>
        <v>508</v>
      </c>
      <c r="W229" s="30">
        <f t="shared" si="15"/>
        <v>34</v>
      </c>
      <c r="X229" s="31">
        <v>1200000.0</v>
      </c>
      <c r="Y229" s="30">
        <f t="shared" si="16"/>
        <v>1200000</v>
      </c>
      <c r="Z229" s="30">
        <f t="shared" si="17"/>
        <v>12</v>
      </c>
      <c r="AA229" s="30"/>
      <c r="AB229" s="30"/>
      <c r="AC229" s="30"/>
      <c r="AD229" s="30"/>
      <c r="AE229" s="30"/>
      <c r="AF229" s="30"/>
      <c r="AG229" s="30"/>
      <c r="AH229" s="30"/>
      <c r="AI229" s="30"/>
      <c r="AJ229" s="32"/>
      <c r="AK229" s="32"/>
      <c r="AL229" s="32"/>
    </row>
    <row r="230" ht="14.25" customHeight="1">
      <c r="A230" s="23">
        <v>229.0</v>
      </c>
      <c r="B230" s="24" t="s">
        <v>26</v>
      </c>
      <c r="C230" s="25" t="s">
        <v>240</v>
      </c>
      <c r="D230" s="24">
        <v>0.0</v>
      </c>
      <c r="E230" s="24"/>
      <c r="F230" s="24">
        <v>0.0</v>
      </c>
      <c r="G230" s="24"/>
      <c r="H230" s="24"/>
      <c r="I230" s="24">
        <v>5467.5</v>
      </c>
      <c r="J230" s="26">
        <v>206.6300000000001</v>
      </c>
      <c r="K230" s="26"/>
      <c r="L230" s="26"/>
      <c r="M230" s="26"/>
      <c r="N230" s="26">
        <v>14.0</v>
      </c>
      <c r="O230" s="36">
        <f t="shared" si="1"/>
        <v>200</v>
      </c>
      <c r="P230" s="36">
        <f t="shared" si="18"/>
        <v>407</v>
      </c>
      <c r="Q230" s="37">
        <f t="shared" si="19"/>
        <v>5061</v>
      </c>
      <c r="R230" s="38">
        <f t="shared" si="4"/>
        <v>314623</v>
      </c>
      <c r="S230" s="39">
        <f t="shared" si="11"/>
        <v>-18510</v>
      </c>
      <c r="T230" s="30">
        <f t="shared" si="12"/>
        <v>1987</v>
      </c>
      <c r="U230" s="30">
        <f t="shared" si="13"/>
        <v>1468</v>
      </c>
      <c r="V230" s="30">
        <f t="shared" si="14"/>
        <v>510</v>
      </c>
      <c r="W230" s="30">
        <f t="shared" si="15"/>
        <v>34.7</v>
      </c>
      <c r="X230" s="31">
        <v>1200000.0</v>
      </c>
      <c r="Y230" s="30">
        <f t="shared" si="16"/>
        <v>1200000</v>
      </c>
      <c r="Z230" s="30">
        <f t="shared" si="17"/>
        <v>12</v>
      </c>
      <c r="AA230" s="30"/>
      <c r="AB230" s="30"/>
      <c r="AC230" s="30"/>
      <c r="AD230" s="30"/>
      <c r="AE230" s="30"/>
      <c r="AF230" s="30"/>
      <c r="AG230" s="30"/>
      <c r="AH230" s="30"/>
      <c r="AI230" s="30"/>
      <c r="AJ230" s="32"/>
      <c r="AK230" s="32"/>
      <c r="AL230" s="32"/>
    </row>
    <row r="231" ht="14.25" customHeight="1">
      <c r="A231" s="23">
        <v>230.0</v>
      </c>
      <c r="B231" s="24" t="s">
        <v>27</v>
      </c>
      <c r="C231" s="25" t="s">
        <v>241</v>
      </c>
      <c r="D231" s="24">
        <v>0.0</v>
      </c>
      <c r="E231" s="24"/>
      <c r="F231" s="24">
        <v>0.0</v>
      </c>
      <c r="G231" s="24"/>
      <c r="H231" s="24"/>
      <c r="I231" s="24">
        <v>7695.0</v>
      </c>
      <c r="J231" s="26">
        <v>520.4499999999998</v>
      </c>
      <c r="K231" s="26"/>
      <c r="L231" s="26"/>
      <c r="M231" s="26"/>
      <c r="N231" s="26">
        <v>14.0</v>
      </c>
      <c r="O231" s="36">
        <f t="shared" si="1"/>
        <v>200</v>
      </c>
      <c r="P231" s="36">
        <f t="shared" si="18"/>
        <v>720</v>
      </c>
      <c r="Q231" s="37">
        <f t="shared" si="19"/>
        <v>6975</v>
      </c>
      <c r="R231" s="38">
        <f t="shared" si="4"/>
        <v>321598</v>
      </c>
      <c r="S231" s="39">
        <f t="shared" si="11"/>
        <v>-11535</v>
      </c>
      <c r="T231" s="30">
        <f t="shared" si="12"/>
        <v>2060</v>
      </c>
      <c r="U231" s="30">
        <f t="shared" si="13"/>
        <v>1374</v>
      </c>
      <c r="V231" s="30">
        <f t="shared" si="14"/>
        <v>515</v>
      </c>
      <c r="W231" s="30">
        <f t="shared" si="15"/>
        <v>37.5</v>
      </c>
      <c r="X231" s="31">
        <v>1200000.0</v>
      </c>
      <c r="Y231" s="30">
        <f t="shared" si="16"/>
        <v>1200000</v>
      </c>
      <c r="Z231" s="30">
        <f t="shared" si="17"/>
        <v>11</v>
      </c>
      <c r="AA231" s="30"/>
      <c r="AB231" s="30"/>
      <c r="AC231" s="30"/>
      <c r="AD231" s="30"/>
      <c r="AE231" s="30"/>
      <c r="AF231" s="30"/>
      <c r="AG231" s="30"/>
      <c r="AH231" s="30"/>
      <c r="AI231" s="30"/>
      <c r="AJ231" s="32"/>
      <c r="AK231" s="32"/>
      <c r="AL231" s="32"/>
    </row>
    <row r="232" ht="14.25" customHeight="1">
      <c r="A232" s="23">
        <v>231.0</v>
      </c>
      <c r="B232" s="24" t="s">
        <v>28</v>
      </c>
      <c r="C232" s="25" t="s">
        <v>242</v>
      </c>
      <c r="D232" s="24">
        <v>0.0</v>
      </c>
      <c r="E232" s="24"/>
      <c r="F232" s="24">
        <v>0.0</v>
      </c>
      <c r="G232" s="24"/>
      <c r="H232" s="24"/>
      <c r="I232" s="24">
        <v>4914.0</v>
      </c>
      <c r="J232" s="26">
        <v>244.02000000000044</v>
      </c>
      <c r="K232" s="26"/>
      <c r="L232" s="26"/>
      <c r="M232" s="26"/>
      <c r="N232" s="26">
        <v>14.0</v>
      </c>
      <c r="O232" s="36">
        <f t="shared" si="1"/>
        <v>200</v>
      </c>
      <c r="P232" s="36">
        <f t="shared" si="18"/>
        <v>444</v>
      </c>
      <c r="Q232" s="37">
        <f t="shared" si="19"/>
        <v>4470</v>
      </c>
      <c r="R232" s="38">
        <f t="shared" si="4"/>
        <v>326068</v>
      </c>
      <c r="S232" s="39">
        <f t="shared" si="11"/>
        <v>-7065</v>
      </c>
      <c r="T232" s="30">
        <f t="shared" si="12"/>
        <v>2048</v>
      </c>
      <c r="U232" s="30">
        <f t="shared" si="13"/>
        <v>1380</v>
      </c>
      <c r="V232" s="30">
        <f t="shared" si="14"/>
        <v>517</v>
      </c>
      <c r="W232" s="30">
        <f t="shared" si="15"/>
        <v>37.5</v>
      </c>
      <c r="X232" s="31">
        <v>1200000.0</v>
      </c>
      <c r="Y232" s="30">
        <f t="shared" si="16"/>
        <v>1200000</v>
      </c>
      <c r="Z232" s="30">
        <f t="shared" si="17"/>
        <v>12</v>
      </c>
      <c r="AA232" s="30"/>
      <c r="AB232" s="30"/>
      <c r="AC232" s="30"/>
      <c r="AD232" s="30"/>
      <c r="AE232" s="30"/>
      <c r="AF232" s="30"/>
      <c r="AG232" s="30"/>
      <c r="AH232" s="30"/>
      <c r="AI232" s="30"/>
      <c r="AJ232" s="32"/>
      <c r="AK232" s="32"/>
      <c r="AL232" s="32"/>
    </row>
    <row r="233" ht="14.25" customHeight="1">
      <c r="A233" s="23">
        <v>232.0</v>
      </c>
      <c r="B233" s="24" t="s">
        <v>29</v>
      </c>
      <c r="C233" s="25" t="s">
        <v>243</v>
      </c>
      <c r="D233" s="24">
        <v>0.0</v>
      </c>
      <c r="E233" s="24"/>
      <c r="F233" s="24">
        <v>0.0</v>
      </c>
      <c r="G233" s="24"/>
      <c r="H233" s="24"/>
      <c r="I233" s="24">
        <v>3856.75</v>
      </c>
      <c r="J233" s="26">
        <v>567.54</v>
      </c>
      <c r="K233" s="26"/>
      <c r="L233" s="26"/>
      <c r="M233" s="26"/>
      <c r="N233" s="26">
        <v>14.0</v>
      </c>
      <c r="O233" s="36">
        <f t="shared" si="1"/>
        <v>200</v>
      </c>
      <c r="P233" s="36">
        <f t="shared" si="18"/>
        <v>768</v>
      </c>
      <c r="Q233" s="37">
        <f t="shared" si="19"/>
        <v>3089</v>
      </c>
      <c r="R233" s="38">
        <f t="shared" si="4"/>
        <v>329157</v>
      </c>
      <c r="S233" s="39">
        <f t="shared" si="11"/>
        <v>-3976</v>
      </c>
      <c r="T233" s="30">
        <f t="shared" si="12"/>
        <v>2064</v>
      </c>
      <c r="U233" s="30">
        <f t="shared" si="13"/>
        <v>1394</v>
      </c>
      <c r="V233" s="30">
        <f t="shared" si="14"/>
        <v>521</v>
      </c>
      <c r="W233" s="30">
        <f t="shared" si="15"/>
        <v>37.4</v>
      </c>
      <c r="X233" s="31">
        <v>1200000.0</v>
      </c>
      <c r="Y233" s="30">
        <f t="shared" si="16"/>
        <v>1200000</v>
      </c>
      <c r="Z233" s="30">
        <f t="shared" si="17"/>
        <v>12</v>
      </c>
      <c r="AA233" s="30"/>
      <c r="AB233" s="30"/>
      <c r="AC233" s="30"/>
      <c r="AD233" s="30"/>
      <c r="AE233" s="30"/>
      <c r="AF233" s="30"/>
      <c r="AG233" s="30"/>
      <c r="AH233" s="30"/>
      <c r="AI233" s="30"/>
      <c r="AJ233" s="32"/>
      <c r="AK233" s="32"/>
      <c r="AL233" s="32"/>
    </row>
    <row r="234" ht="14.25" customHeight="1">
      <c r="A234" s="23">
        <v>233.0</v>
      </c>
      <c r="B234" s="24" t="s">
        <v>30</v>
      </c>
      <c r="C234" s="25" t="s">
        <v>244</v>
      </c>
      <c r="D234" s="24">
        <v>0.0</v>
      </c>
      <c r="E234" s="24"/>
      <c r="F234" s="24">
        <v>0.0</v>
      </c>
      <c r="G234" s="24"/>
      <c r="H234" s="24"/>
      <c r="I234" s="24">
        <v>901.25</v>
      </c>
      <c r="J234" s="26">
        <v>441.39999999999964</v>
      </c>
      <c r="K234" s="26"/>
      <c r="L234" s="26"/>
      <c r="M234" s="26"/>
      <c r="N234" s="26">
        <v>14.0</v>
      </c>
      <c r="O234" s="36">
        <f t="shared" si="1"/>
        <v>200</v>
      </c>
      <c r="P234" s="36">
        <f t="shared" si="18"/>
        <v>641</v>
      </c>
      <c r="Q234" s="37">
        <f t="shared" si="19"/>
        <v>260</v>
      </c>
      <c r="R234" s="38">
        <f t="shared" si="4"/>
        <v>329417</v>
      </c>
      <c r="S234" s="39">
        <f t="shared" si="11"/>
        <v>-3716</v>
      </c>
      <c r="T234" s="30">
        <f t="shared" si="12"/>
        <v>1895</v>
      </c>
      <c r="U234" s="30">
        <f t="shared" si="13"/>
        <v>1425</v>
      </c>
      <c r="V234" s="30">
        <f t="shared" si="14"/>
        <v>524</v>
      </c>
      <c r="W234" s="30">
        <f t="shared" si="15"/>
        <v>36.8</v>
      </c>
      <c r="X234" s="31">
        <v>1200000.0</v>
      </c>
      <c r="Y234" s="30">
        <f t="shared" si="16"/>
        <v>1200000</v>
      </c>
      <c r="Z234" s="30">
        <f t="shared" si="17"/>
        <v>12</v>
      </c>
      <c r="AA234" s="30"/>
      <c r="AB234" s="30"/>
      <c r="AC234" s="30"/>
      <c r="AD234" s="30"/>
      <c r="AE234" s="30"/>
      <c r="AF234" s="30"/>
      <c r="AG234" s="30"/>
      <c r="AH234" s="30"/>
      <c r="AI234" s="30"/>
      <c r="AJ234" s="32"/>
      <c r="AK234" s="32"/>
      <c r="AL234" s="32"/>
    </row>
    <row r="235" ht="14.25" customHeight="1">
      <c r="A235" s="23">
        <v>234.0</v>
      </c>
      <c r="B235" s="24" t="s">
        <v>27</v>
      </c>
      <c r="C235" s="25" t="s">
        <v>245</v>
      </c>
      <c r="D235" s="24">
        <v>0.0</v>
      </c>
      <c r="E235" s="24"/>
      <c r="F235" s="24">
        <v>0.0</v>
      </c>
      <c r="G235" s="24"/>
      <c r="H235" s="24"/>
      <c r="I235" s="24">
        <v>5509.75</v>
      </c>
      <c r="J235" s="26">
        <v>1405.5100000000002</v>
      </c>
      <c r="K235" s="26"/>
      <c r="L235" s="26"/>
      <c r="M235" s="26"/>
      <c r="N235" s="26">
        <v>14.0</v>
      </c>
      <c r="O235" s="36">
        <f t="shared" si="1"/>
        <v>200</v>
      </c>
      <c r="P235" s="36">
        <f t="shared" si="18"/>
        <v>1606</v>
      </c>
      <c r="Q235" s="37">
        <f t="shared" si="19"/>
        <v>3904</v>
      </c>
      <c r="R235" s="38">
        <f t="shared" si="4"/>
        <v>333321</v>
      </c>
      <c r="S235" s="39">
        <f t="shared" si="11"/>
        <v>0</v>
      </c>
      <c r="T235" s="30">
        <f t="shared" si="12"/>
        <v>1932</v>
      </c>
      <c r="U235" s="30">
        <f t="shared" si="13"/>
        <v>1524</v>
      </c>
      <c r="V235" s="30">
        <f t="shared" si="14"/>
        <v>532</v>
      </c>
      <c r="W235" s="30">
        <f t="shared" si="15"/>
        <v>34.9</v>
      </c>
      <c r="X235" s="30">
        <v>1200000.0</v>
      </c>
      <c r="Y235" s="30">
        <f t="shared" si="16"/>
        <v>1200000</v>
      </c>
      <c r="Z235" s="30">
        <f t="shared" si="17"/>
        <v>13</v>
      </c>
      <c r="AA235" s="30"/>
      <c r="AB235" s="30"/>
      <c r="AC235" s="30"/>
      <c r="AD235" s="30"/>
      <c r="AE235" s="30"/>
      <c r="AF235" s="30"/>
      <c r="AG235" s="30"/>
      <c r="AH235" s="30"/>
      <c r="AI235" s="30"/>
      <c r="AJ235" s="32"/>
      <c r="AK235" s="32"/>
      <c r="AL235" s="32"/>
    </row>
    <row r="236" ht="14.25" customHeight="1">
      <c r="A236" s="23">
        <v>235.0</v>
      </c>
      <c r="B236" s="24" t="s">
        <v>28</v>
      </c>
      <c r="C236" s="25" t="s">
        <v>246</v>
      </c>
      <c r="D236" s="24">
        <v>0.0</v>
      </c>
      <c r="E236" s="24"/>
      <c r="F236" s="24">
        <v>0.0</v>
      </c>
      <c r="G236" s="24"/>
      <c r="H236" s="24"/>
      <c r="I236" s="24">
        <v>-6000.0</v>
      </c>
      <c r="J236" s="26">
        <v>498.1999999999998</v>
      </c>
      <c r="K236" s="26"/>
      <c r="L236" s="26"/>
      <c r="M236" s="26"/>
      <c r="N236" s="26">
        <v>14.0</v>
      </c>
      <c r="O236" s="36">
        <f t="shared" si="1"/>
        <v>200</v>
      </c>
      <c r="P236" s="36">
        <f t="shared" si="18"/>
        <v>698</v>
      </c>
      <c r="Q236" s="37">
        <f t="shared" si="19"/>
        <v>-6698</v>
      </c>
      <c r="R236" s="38">
        <f t="shared" si="4"/>
        <v>326623</v>
      </c>
      <c r="S236" s="39">
        <f t="shared" si="11"/>
        <v>-6698</v>
      </c>
      <c r="T236" s="30">
        <f t="shared" si="12"/>
        <v>1701</v>
      </c>
      <c r="U236" s="30">
        <f t="shared" si="13"/>
        <v>1431</v>
      </c>
      <c r="V236" s="30">
        <f t="shared" si="14"/>
        <v>536</v>
      </c>
      <c r="W236" s="30">
        <f t="shared" si="15"/>
        <v>37.5</v>
      </c>
      <c r="X236" s="30">
        <v>1200000.0</v>
      </c>
      <c r="Y236" s="30">
        <f t="shared" si="16"/>
        <v>1200000</v>
      </c>
      <c r="Z236" s="30">
        <f t="shared" si="17"/>
        <v>12</v>
      </c>
      <c r="AA236" s="30"/>
      <c r="AB236" s="30"/>
      <c r="AC236" s="30"/>
      <c r="AD236" s="30"/>
      <c r="AE236" s="30"/>
      <c r="AF236" s="30"/>
      <c r="AG236" s="30"/>
      <c r="AH236" s="30"/>
      <c r="AI236" s="30"/>
      <c r="AJ236" s="32"/>
      <c r="AK236" s="32"/>
      <c r="AL236" s="32"/>
    </row>
    <row r="237" ht="14.25" customHeight="1">
      <c r="A237" s="23">
        <v>236.0</v>
      </c>
      <c r="B237" s="24" t="s">
        <v>29</v>
      </c>
      <c r="C237" s="25" t="s">
        <v>247</v>
      </c>
      <c r="D237" s="24">
        <v>0.0</v>
      </c>
      <c r="E237" s="24"/>
      <c r="F237" s="24">
        <v>0.0</v>
      </c>
      <c r="G237" s="24"/>
      <c r="H237" s="24"/>
      <c r="I237" s="24">
        <v>-38770.25</v>
      </c>
      <c r="J237" s="26">
        <v>3064.5599999999977</v>
      </c>
      <c r="K237" s="26"/>
      <c r="L237" s="26"/>
      <c r="M237" s="26"/>
      <c r="N237" s="26">
        <v>14.0</v>
      </c>
      <c r="O237" s="36">
        <f t="shared" si="1"/>
        <v>200</v>
      </c>
      <c r="P237" s="36">
        <f t="shared" si="18"/>
        <v>3265</v>
      </c>
      <c r="Q237" s="37">
        <f t="shared" si="19"/>
        <v>-42035</v>
      </c>
      <c r="R237" s="38">
        <f t="shared" si="4"/>
        <v>284588</v>
      </c>
      <c r="S237" s="39">
        <f t="shared" si="11"/>
        <v>-48733</v>
      </c>
      <c r="T237" s="30">
        <f t="shared" si="12"/>
        <v>720</v>
      </c>
      <c r="U237" s="30">
        <f t="shared" si="13"/>
        <v>946</v>
      </c>
      <c r="V237" s="30">
        <f t="shared" si="14"/>
        <v>565</v>
      </c>
      <c r="W237" s="30">
        <f t="shared" si="15"/>
        <v>59.7</v>
      </c>
      <c r="X237" s="30">
        <v>1200000.0</v>
      </c>
      <c r="Y237" s="30">
        <f t="shared" si="16"/>
        <v>1200000</v>
      </c>
      <c r="Z237" s="30">
        <f t="shared" si="17"/>
        <v>8</v>
      </c>
      <c r="AA237" s="30"/>
      <c r="AB237" s="30"/>
      <c r="AC237" s="30"/>
      <c r="AD237" s="30"/>
      <c r="AE237" s="30"/>
      <c r="AF237" s="30"/>
      <c r="AG237" s="30"/>
      <c r="AH237" s="30"/>
      <c r="AI237" s="30"/>
      <c r="AJ237" s="32"/>
      <c r="AK237" s="32"/>
      <c r="AL237" s="32"/>
    </row>
    <row r="238" ht="14.25" customHeight="1">
      <c r="A238" s="23">
        <v>237.0</v>
      </c>
      <c r="B238" s="24" t="s">
        <v>30</v>
      </c>
      <c r="C238" s="25" t="s">
        <v>248</v>
      </c>
      <c r="D238" s="24">
        <v>0.0</v>
      </c>
      <c r="E238" s="24"/>
      <c r="F238" s="24">
        <v>0.0</v>
      </c>
      <c r="G238" s="24"/>
      <c r="H238" s="24"/>
      <c r="I238" s="24">
        <v>10093.5</v>
      </c>
      <c r="J238" s="26">
        <v>1366.1899999999996</v>
      </c>
      <c r="K238" s="26"/>
      <c r="L238" s="26"/>
      <c r="M238" s="26"/>
      <c r="N238" s="26">
        <v>14.0</v>
      </c>
      <c r="O238" s="36">
        <f t="shared" si="1"/>
        <v>200</v>
      </c>
      <c r="P238" s="36">
        <f t="shared" si="18"/>
        <v>1566</v>
      </c>
      <c r="Q238" s="37">
        <f t="shared" si="19"/>
        <v>8528</v>
      </c>
      <c r="R238" s="38">
        <f t="shared" si="4"/>
        <v>293116</v>
      </c>
      <c r="S238" s="39">
        <f t="shared" si="11"/>
        <v>-40205</v>
      </c>
      <c r="T238" s="30">
        <f t="shared" si="12"/>
        <v>786</v>
      </c>
      <c r="U238" s="30">
        <f t="shared" si="13"/>
        <v>957</v>
      </c>
      <c r="V238" s="30">
        <f t="shared" si="14"/>
        <v>579</v>
      </c>
      <c r="W238" s="30">
        <f t="shared" si="15"/>
        <v>60.5</v>
      </c>
      <c r="X238" s="30">
        <v>1200000.0</v>
      </c>
      <c r="Y238" s="30">
        <f t="shared" si="16"/>
        <v>1200000</v>
      </c>
      <c r="Z238" s="30">
        <f t="shared" si="17"/>
        <v>8</v>
      </c>
      <c r="AA238" s="30"/>
      <c r="AB238" s="30"/>
      <c r="AC238" s="30"/>
      <c r="AD238" s="30"/>
      <c r="AE238" s="30"/>
      <c r="AF238" s="30"/>
      <c r="AG238" s="30"/>
      <c r="AH238" s="30"/>
      <c r="AI238" s="30"/>
      <c r="AJ238" s="32"/>
      <c r="AK238" s="32"/>
      <c r="AL238" s="32"/>
    </row>
    <row r="239" ht="14.25" customHeight="1">
      <c r="A239" s="23">
        <v>238.0</v>
      </c>
      <c r="B239" s="24" t="s">
        <v>26</v>
      </c>
      <c r="C239" s="25" t="s">
        <v>249</v>
      </c>
      <c r="D239" s="24">
        <v>0.0</v>
      </c>
      <c r="E239" s="24"/>
      <c r="F239" s="24">
        <v>0.0</v>
      </c>
      <c r="G239" s="24"/>
      <c r="H239" s="24"/>
      <c r="I239" s="24">
        <v>15486.0</v>
      </c>
      <c r="J239" s="26">
        <v>847.9000000000001</v>
      </c>
      <c r="K239" s="26"/>
      <c r="L239" s="26"/>
      <c r="M239" s="26"/>
      <c r="N239" s="26">
        <v>14.0</v>
      </c>
      <c r="O239" s="36">
        <f t="shared" si="1"/>
        <v>200</v>
      </c>
      <c r="P239" s="36">
        <f t="shared" si="18"/>
        <v>1048</v>
      </c>
      <c r="Q239" s="37">
        <f t="shared" si="19"/>
        <v>14438</v>
      </c>
      <c r="R239" s="38">
        <f t="shared" si="4"/>
        <v>307554</v>
      </c>
      <c r="S239" s="39">
        <f t="shared" si="11"/>
        <v>-25767</v>
      </c>
      <c r="T239" s="30">
        <f t="shared" si="12"/>
        <v>1041</v>
      </c>
      <c r="U239" s="30">
        <f t="shared" si="13"/>
        <v>1141</v>
      </c>
      <c r="V239" s="30">
        <f t="shared" si="14"/>
        <v>583</v>
      </c>
      <c r="W239" s="30">
        <f t="shared" si="15"/>
        <v>51.1</v>
      </c>
      <c r="X239" s="30">
        <v>1200000.0</v>
      </c>
      <c r="Y239" s="30">
        <f t="shared" si="16"/>
        <v>1200000</v>
      </c>
      <c r="Z239" s="30">
        <f t="shared" si="17"/>
        <v>10</v>
      </c>
      <c r="AA239" s="30"/>
      <c r="AB239" s="30"/>
      <c r="AC239" s="30"/>
      <c r="AD239" s="30"/>
      <c r="AE239" s="30"/>
      <c r="AF239" s="30"/>
      <c r="AG239" s="30"/>
      <c r="AH239" s="30"/>
      <c r="AI239" s="30"/>
      <c r="AJ239" s="32"/>
      <c r="AK239" s="32"/>
      <c r="AL239" s="32"/>
    </row>
    <row r="240" ht="14.25" customHeight="1">
      <c r="A240" s="23">
        <v>239.0</v>
      </c>
      <c r="B240" s="24" t="s">
        <v>27</v>
      </c>
      <c r="C240" s="25" t="s">
        <v>250</v>
      </c>
      <c r="D240" s="24">
        <v>0.0</v>
      </c>
      <c r="E240" s="24"/>
      <c r="F240" s="24">
        <v>0.0</v>
      </c>
      <c r="G240" s="24"/>
      <c r="H240" s="24"/>
      <c r="I240" s="24">
        <v>-9273.0</v>
      </c>
      <c r="J240" s="26">
        <v>1429.1299999999992</v>
      </c>
      <c r="K240" s="26"/>
      <c r="L240" s="26"/>
      <c r="M240" s="26"/>
      <c r="N240" s="26">
        <v>14.0</v>
      </c>
      <c r="O240" s="36">
        <f t="shared" si="1"/>
        <v>200</v>
      </c>
      <c r="P240" s="36">
        <f t="shared" si="18"/>
        <v>1629</v>
      </c>
      <c r="Q240" s="37">
        <f t="shared" si="19"/>
        <v>-10902</v>
      </c>
      <c r="R240" s="38">
        <f t="shared" si="4"/>
        <v>296652</v>
      </c>
      <c r="S240" s="39">
        <f t="shared" si="11"/>
        <v>-36669</v>
      </c>
      <c r="T240" s="30">
        <f t="shared" si="12"/>
        <v>818</v>
      </c>
      <c r="U240" s="30">
        <f t="shared" si="13"/>
        <v>1228</v>
      </c>
      <c r="V240" s="30">
        <f t="shared" si="14"/>
        <v>586</v>
      </c>
      <c r="W240" s="30">
        <f t="shared" si="15"/>
        <v>47.7</v>
      </c>
      <c r="X240" s="30">
        <v>1200000.0</v>
      </c>
      <c r="Y240" s="30">
        <f t="shared" si="16"/>
        <v>1200000</v>
      </c>
      <c r="Z240" s="30">
        <f t="shared" si="17"/>
        <v>10</v>
      </c>
      <c r="AA240" s="30"/>
      <c r="AB240" s="30"/>
      <c r="AC240" s="30"/>
      <c r="AD240" s="30"/>
      <c r="AE240" s="30"/>
      <c r="AF240" s="30"/>
      <c r="AG240" s="30"/>
      <c r="AH240" s="30"/>
      <c r="AI240" s="30"/>
      <c r="AJ240" s="32"/>
      <c r="AK240" s="32"/>
      <c r="AL240" s="32"/>
    </row>
    <row r="241" ht="14.25" customHeight="1">
      <c r="A241" s="23">
        <v>240.0</v>
      </c>
      <c r="B241" s="24" t="s">
        <v>28</v>
      </c>
      <c r="C241" s="25" t="s">
        <v>251</v>
      </c>
      <c r="D241" s="24">
        <v>0.0</v>
      </c>
      <c r="E241" s="24"/>
      <c r="F241" s="24">
        <v>0.0</v>
      </c>
      <c r="G241" s="24"/>
      <c r="H241" s="24"/>
      <c r="I241" s="24">
        <v>11987.0</v>
      </c>
      <c r="J241" s="26">
        <v>372.1300000000001</v>
      </c>
      <c r="K241" s="26"/>
      <c r="L241" s="26"/>
      <c r="M241" s="26"/>
      <c r="N241" s="26">
        <v>14.0</v>
      </c>
      <c r="O241" s="36">
        <f t="shared" si="1"/>
        <v>200</v>
      </c>
      <c r="P241" s="36">
        <f t="shared" si="18"/>
        <v>572</v>
      </c>
      <c r="Q241" s="37">
        <f t="shared" si="19"/>
        <v>11415</v>
      </c>
      <c r="R241" s="38">
        <f t="shared" si="4"/>
        <v>308067</v>
      </c>
      <c r="S241" s="39">
        <f t="shared" si="11"/>
        <v>-25254</v>
      </c>
      <c r="T241" s="30">
        <f t="shared" si="12"/>
        <v>970</v>
      </c>
      <c r="U241" s="30">
        <f t="shared" si="13"/>
        <v>1326</v>
      </c>
      <c r="V241" s="30">
        <f t="shared" si="14"/>
        <v>587</v>
      </c>
      <c r="W241" s="30">
        <f t="shared" si="15"/>
        <v>44.3</v>
      </c>
      <c r="X241" s="30">
        <v>1200000.0</v>
      </c>
      <c r="Y241" s="30">
        <f t="shared" si="16"/>
        <v>1200000</v>
      </c>
      <c r="Z241" s="30">
        <f t="shared" si="17"/>
        <v>11</v>
      </c>
      <c r="AA241" s="30"/>
      <c r="AB241" s="30"/>
      <c r="AC241" s="30"/>
      <c r="AD241" s="30"/>
      <c r="AE241" s="30"/>
      <c r="AF241" s="30"/>
      <c r="AG241" s="30"/>
      <c r="AH241" s="30"/>
      <c r="AI241" s="30"/>
      <c r="AJ241" s="32"/>
      <c r="AK241" s="32"/>
      <c r="AL241" s="32"/>
    </row>
    <row r="242" ht="14.25" customHeight="1">
      <c r="A242" s="23">
        <v>241.0</v>
      </c>
      <c r="B242" s="24" t="s">
        <v>29</v>
      </c>
      <c r="C242" s="25" t="s">
        <v>252</v>
      </c>
      <c r="D242" s="24">
        <v>0.0</v>
      </c>
      <c r="E242" s="24"/>
      <c r="F242" s="24">
        <v>0.0</v>
      </c>
      <c r="G242" s="24"/>
      <c r="H242" s="24"/>
      <c r="I242" s="24">
        <v>-12763.0</v>
      </c>
      <c r="J242" s="26">
        <v>1301.6100000000001</v>
      </c>
      <c r="K242" s="26"/>
      <c r="L242" s="26"/>
      <c r="M242" s="26"/>
      <c r="N242" s="26">
        <v>14.0</v>
      </c>
      <c r="O242" s="36">
        <f t="shared" si="1"/>
        <v>200</v>
      </c>
      <c r="P242" s="36">
        <f t="shared" si="18"/>
        <v>1502</v>
      </c>
      <c r="Q242" s="37">
        <f t="shared" si="19"/>
        <v>-14265</v>
      </c>
      <c r="R242" s="38">
        <f t="shared" si="4"/>
        <v>293802</v>
      </c>
      <c r="S242" s="39">
        <f t="shared" si="11"/>
        <v>-39519</v>
      </c>
      <c r="T242" s="30">
        <f t="shared" si="12"/>
        <v>637</v>
      </c>
      <c r="U242" s="30">
        <f t="shared" si="13"/>
        <v>1304</v>
      </c>
      <c r="V242" s="30">
        <f t="shared" si="14"/>
        <v>588</v>
      </c>
      <c r="W242" s="30">
        <f t="shared" si="15"/>
        <v>45.1</v>
      </c>
      <c r="X242" s="30">
        <v>1200000.0</v>
      </c>
      <c r="Y242" s="30">
        <f t="shared" si="16"/>
        <v>1200000</v>
      </c>
      <c r="Z242" s="30">
        <f t="shared" si="17"/>
        <v>11</v>
      </c>
      <c r="AA242" s="30"/>
      <c r="AB242" s="30"/>
      <c r="AC242" s="30"/>
      <c r="AD242" s="30"/>
      <c r="AE242" s="30"/>
      <c r="AF242" s="30"/>
      <c r="AG242" s="30"/>
      <c r="AH242" s="30"/>
      <c r="AI242" s="30"/>
      <c r="AJ242" s="32"/>
      <c r="AK242" s="32"/>
      <c r="AL242" s="32"/>
    </row>
    <row r="243" ht="14.25" customHeight="1">
      <c r="A243" s="23">
        <v>242.0</v>
      </c>
      <c r="B243" s="24" t="s">
        <v>30</v>
      </c>
      <c r="C243" s="25" t="s">
        <v>253</v>
      </c>
      <c r="D243" s="24">
        <v>0.0</v>
      </c>
      <c r="E243" s="24"/>
      <c r="F243" s="24">
        <v>0.0</v>
      </c>
      <c r="G243" s="24"/>
      <c r="H243" s="24"/>
      <c r="I243" s="24">
        <v>-14712.5</v>
      </c>
      <c r="J243" s="26">
        <v>3251.5</v>
      </c>
      <c r="K243" s="26"/>
      <c r="L243" s="26"/>
      <c r="M243" s="26"/>
      <c r="N243" s="26">
        <v>14.0</v>
      </c>
      <c r="O243" s="36">
        <f t="shared" si="1"/>
        <v>200</v>
      </c>
      <c r="P243" s="36">
        <f t="shared" si="18"/>
        <v>3452</v>
      </c>
      <c r="Q243" s="37">
        <f t="shared" si="19"/>
        <v>-18165</v>
      </c>
      <c r="R243" s="38">
        <f t="shared" si="4"/>
        <v>275637</v>
      </c>
      <c r="S243" s="39">
        <f t="shared" si="11"/>
        <v>-57684</v>
      </c>
      <c r="T243" s="30">
        <f t="shared" si="12"/>
        <v>379</v>
      </c>
      <c r="U243" s="30">
        <f t="shared" si="13"/>
        <v>1152</v>
      </c>
      <c r="V243" s="30">
        <f t="shared" si="14"/>
        <v>616</v>
      </c>
      <c r="W243" s="30">
        <f t="shared" si="15"/>
        <v>53.5</v>
      </c>
      <c r="X243" s="30">
        <v>1200000.0</v>
      </c>
      <c r="Y243" s="30">
        <f t="shared" si="16"/>
        <v>1200000</v>
      </c>
      <c r="Z243" s="30">
        <f t="shared" si="17"/>
        <v>10</v>
      </c>
      <c r="AA243" s="30"/>
      <c r="AB243" s="30"/>
      <c r="AC243" s="30"/>
      <c r="AD243" s="30"/>
      <c r="AE243" s="30"/>
      <c r="AF243" s="30"/>
      <c r="AG243" s="30"/>
      <c r="AH243" s="30"/>
      <c r="AI243" s="30"/>
      <c r="AJ243" s="32"/>
      <c r="AK243" s="32"/>
      <c r="AL243" s="32"/>
    </row>
    <row r="244" ht="14.25" customHeight="1">
      <c r="A244" s="23">
        <v>243.0</v>
      </c>
      <c r="B244" s="24" t="s">
        <v>26</v>
      </c>
      <c r="C244" s="25" t="s">
        <v>254</v>
      </c>
      <c r="D244" s="24">
        <v>0.0</v>
      </c>
      <c r="E244" s="24"/>
      <c r="F244" s="24">
        <v>0.0</v>
      </c>
      <c r="G244" s="24"/>
      <c r="H244" s="24"/>
      <c r="I244" s="24">
        <v>-12595.75</v>
      </c>
      <c r="J244" s="26">
        <v>774.6399999999994</v>
      </c>
      <c r="K244" s="26"/>
      <c r="L244" s="26"/>
      <c r="M244" s="26"/>
      <c r="N244" s="26">
        <v>14.0</v>
      </c>
      <c r="O244" s="36">
        <f t="shared" si="1"/>
        <v>200</v>
      </c>
      <c r="P244" s="36">
        <f t="shared" si="18"/>
        <v>975</v>
      </c>
      <c r="Q244" s="37">
        <f t="shared" si="19"/>
        <v>-13571</v>
      </c>
      <c r="R244" s="38">
        <f t="shared" si="4"/>
        <v>262066</v>
      </c>
      <c r="S244" s="39">
        <f t="shared" si="11"/>
        <v>-71255</v>
      </c>
      <c r="T244" s="30">
        <f t="shared" si="12"/>
        <v>228</v>
      </c>
      <c r="U244" s="30">
        <f t="shared" si="13"/>
        <v>1015</v>
      </c>
      <c r="V244" s="30">
        <f t="shared" si="14"/>
        <v>623</v>
      </c>
      <c r="W244" s="30">
        <f t="shared" si="15"/>
        <v>61.4</v>
      </c>
      <c r="X244" s="30">
        <v>1200000.0</v>
      </c>
      <c r="Y244" s="30">
        <f t="shared" si="16"/>
        <v>1200000</v>
      </c>
      <c r="Z244" s="30">
        <f t="shared" si="17"/>
        <v>8</v>
      </c>
      <c r="AA244" s="30"/>
      <c r="AB244" s="30"/>
      <c r="AC244" s="30"/>
      <c r="AD244" s="30"/>
      <c r="AE244" s="30"/>
      <c r="AF244" s="30"/>
      <c r="AG244" s="30"/>
      <c r="AH244" s="30"/>
      <c r="AI244" s="30"/>
      <c r="AJ244" s="32"/>
      <c r="AK244" s="32"/>
      <c r="AL244" s="32"/>
    </row>
    <row r="245" ht="14.25" customHeight="1">
      <c r="A245" s="23">
        <v>244.0</v>
      </c>
      <c r="B245" s="24" t="s">
        <v>27</v>
      </c>
      <c r="C245" s="25" t="s">
        <v>255</v>
      </c>
      <c r="D245" s="24">
        <v>0.0</v>
      </c>
      <c r="E245" s="24"/>
      <c r="F245" s="24">
        <v>0.0</v>
      </c>
      <c r="G245" s="24"/>
      <c r="H245" s="24"/>
      <c r="I245" s="24">
        <v>-3107.0</v>
      </c>
      <c r="J245" s="26">
        <v>223.73000000000002</v>
      </c>
      <c r="K245" s="26"/>
      <c r="L245" s="26"/>
      <c r="M245" s="26"/>
      <c r="N245" s="26">
        <v>14.0</v>
      </c>
      <c r="O245" s="36">
        <f t="shared" si="1"/>
        <v>200</v>
      </c>
      <c r="P245" s="36">
        <f t="shared" si="18"/>
        <v>424</v>
      </c>
      <c r="Q245" s="37">
        <f t="shared" si="19"/>
        <v>-3531</v>
      </c>
      <c r="R245" s="38">
        <f t="shared" si="4"/>
        <v>258535</v>
      </c>
      <c r="S245" s="39">
        <f t="shared" si="11"/>
        <v>-74786</v>
      </c>
      <c r="T245" s="30">
        <f t="shared" si="12"/>
        <v>70</v>
      </c>
      <c r="U245" s="30">
        <f t="shared" si="13"/>
        <v>931</v>
      </c>
      <c r="V245" s="30">
        <f t="shared" si="14"/>
        <v>625</v>
      </c>
      <c r="W245" s="30">
        <f t="shared" si="15"/>
        <v>67.1</v>
      </c>
      <c r="X245" s="30">
        <v>1200000.0</v>
      </c>
      <c r="Y245" s="30">
        <f t="shared" si="16"/>
        <v>1200000</v>
      </c>
      <c r="Z245" s="30">
        <f t="shared" si="17"/>
        <v>8</v>
      </c>
      <c r="AA245" s="30"/>
      <c r="AB245" s="30"/>
      <c r="AC245" s="30"/>
      <c r="AD245" s="30"/>
      <c r="AE245" s="30"/>
      <c r="AF245" s="30"/>
      <c r="AG245" s="30"/>
      <c r="AH245" s="30"/>
      <c r="AI245" s="30"/>
      <c r="AJ245" s="32"/>
      <c r="AK245" s="32"/>
      <c r="AL245" s="32"/>
    </row>
    <row r="246" ht="14.25" customHeight="1">
      <c r="A246" s="23">
        <v>245.0</v>
      </c>
      <c r="B246" s="24" t="s">
        <v>28</v>
      </c>
      <c r="C246" s="25" t="s">
        <v>256</v>
      </c>
      <c r="D246" s="24">
        <v>0.0</v>
      </c>
      <c r="E246" s="24"/>
      <c r="F246" s="24">
        <v>0.0</v>
      </c>
      <c r="G246" s="24"/>
      <c r="H246" s="24"/>
      <c r="I246" s="24">
        <v>3555.5</v>
      </c>
      <c r="J246" s="26">
        <v>485.4899999999998</v>
      </c>
      <c r="K246" s="26"/>
      <c r="L246" s="26"/>
      <c r="M246" s="26"/>
      <c r="N246" s="26">
        <v>14.0</v>
      </c>
      <c r="O246" s="36">
        <f t="shared" si="1"/>
        <v>200</v>
      </c>
      <c r="P246" s="36">
        <f t="shared" si="18"/>
        <v>685</v>
      </c>
      <c r="Q246" s="37">
        <f t="shared" si="19"/>
        <v>2871</v>
      </c>
      <c r="R246" s="38">
        <f t="shared" si="4"/>
        <v>261406</v>
      </c>
      <c r="S246" s="39">
        <f t="shared" si="11"/>
        <v>-71915</v>
      </c>
      <c r="T246" s="30">
        <f t="shared" si="12"/>
        <v>193</v>
      </c>
      <c r="U246" s="30">
        <f t="shared" si="13"/>
        <v>980</v>
      </c>
      <c r="V246" s="30">
        <f t="shared" si="14"/>
        <v>620</v>
      </c>
      <c r="W246" s="30">
        <f t="shared" si="15"/>
        <v>63.3</v>
      </c>
      <c r="X246" s="30">
        <v>1200000.0</v>
      </c>
      <c r="Y246" s="30">
        <f t="shared" si="16"/>
        <v>1200000</v>
      </c>
      <c r="Z246" s="30">
        <f t="shared" si="17"/>
        <v>8</v>
      </c>
      <c r="AA246" s="30"/>
      <c r="AB246" s="30"/>
      <c r="AC246" s="30"/>
      <c r="AD246" s="30"/>
      <c r="AE246" s="30"/>
      <c r="AF246" s="30"/>
      <c r="AG246" s="30"/>
      <c r="AH246" s="30"/>
      <c r="AI246" s="30"/>
      <c r="AJ246" s="32"/>
      <c r="AK246" s="32"/>
      <c r="AL246" s="32"/>
    </row>
    <row r="247" ht="14.25" customHeight="1">
      <c r="A247" s="23">
        <v>246.0</v>
      </c>
      <c r="B247" s="24" t="s">
        <v>29</v>
      </c>
      <c r="C247" s="25" t="s">
        <v>257</v>
      </c>
      <c r="D247" s="24">
        <v>0.0</v>
      </c>
      <c r="E247" s="24"/>
      <c r="F247" s="24">
        <v>0.0</v>
      </c>
      <c r="G247" s="24"/>
      <c r="H247" s="24"/>
      <c r="I247" s="24">
        <v>-2054.25</v>
      </c>
      <c r="J247" s="26">
        <v>947.0799999999999</v>
      </c>
      <c r="K247" s="26"/>
      <c r="L247" s="26"/>
      <c r="M247" s="26"/>
      <c r="N247" s="26">
        <v>14.0</v>
      </c>
      <c r="O247" s="36">
        <f t="shared" si="1"/>
        <v>200</v>
      </c>
      <c r="P247" s="36">
        <f t="shared" si="18"/>
        <v>1147</v>
      </c>
      <c r="Q247" s="37">
        <f t="shared" si="19"/>
        <v>-3201</v>
      </c>
      <c r="R247" s="38">
        <f t="shared" si="4"/>
        <v>258205</v>
      </c>
      <c r="S247" s="39">
        <f t="shared" si="11"/>
        <v>-75116</v>
      </c>
      <c r="T247" s="30">
        <f t="shared" si="12"/>
        <v>32</v>
      </c>
      <c r="U247" s="30">
        <f t="shared" si="13"/>
        <v>878</v>
      </c>
      <c r="V247" s="30">
        <f t="shared" si="14"/>
        <v>625</v>
      </c>
      <c r="W247" s="30">
        <f t="shared" si="15"/>
        <v>71.2</v>
      </c>
      <c r="X247" s="30">
        <v>1200000.0</v>
      </c>
      <c r="Y247" s="30">
        <f t="shared" si="16"/>
        <v>1200000</v>
      </c>
      <c r="Z247" s="30">
        <f t="shared" si="17"/>
        <v>7</v>
      </c>
      <c r="AA247" s="30"/>
      <c r="AB247" s="30"/>
      <c r="AC247" s="30"/>
      <c r="AD247" s="30"/>
      <c r="AE247" s="30"/>
      <c r="AF247" s="30"/>
      <c r="AG247" s="30"/>
      <c r="AH247" s="30"/>
      <c r="AI247" s="30"/>
      <c r="AJ247" s="32"/>
      <c r="AK247" s="32"/>
      <c r="AL247" s="32"/>
    </row>
    <row r="248" ht="14.25" customHeight="1">
      <c r="A248" s="23">
        <v>247.0</v>
      </c>
      <c r="B248" s="24" t="s">
        <v>30</v>
      </c>
      <c r="C248" s="25" t="s">
        <v>258</v>
      </c>
      <c r="D248" s="24">
        <v>0.0</v>
      </c>
      <c r="E248" s="24"/>
      <c r="F248" s="24">
        <v>0.0</v>
      </c>
      <c r="G248" s="24"/>
      <c r="H248" s="24"/>
      <c r="I248" s="24">
        <v>5634.0</v>
      </c>
      <c r="J248" s="26">
        <v>257.5699999999997</v>
      </c>
      <c r="K248" s="26"/>
      <c r="L248" s="26"/>
      <c r="M248" s="26"/>
      <c r="N248" s="26">
        <v>14.0</v>
      </c>
      <c r="O248" s="36">
        <f t="shared" si="1"/>
        <v>200</v>
      </c>
      <c r="P248" s="36">
        <f t="shared" si="18"/>
        <v>458</v>
      </c>
      <c r="Q248" s="37">
        <f t="shared" si="19"/>
        <v>5176</v>
      </c>
      <c r="R248" s="38">
        <f t="shared" si="4"/>
        <v>263381</v>
      </c>
      <c r="S248" s="39">
        <f t="shared" si="11"/>
        <v>-69940</v>
      </c>
      <c r="T248" s="30">
        <f t="shared" si="12"/>
        <v>59</v>
      </c>
      <c r="U248" s="30">
        <f t="shared" si="13"/>
        <v>857</v>
      </c>
      <c r="V248" s="30">
        <f t="shared" si="14"/>
        <v>624</v>
      </c>
      <c r="W248" s="30">
        <f t="shared" si="15"/>
        <v>72.8</v>
      </c>
      <c r="X248" s="30">
        <v>1200000.0</v>
      </c>
      <c r="Y248" s="30">
        <f t="shared" si="16"/>
        <v>1200000</v>
      </c>
      <c r="Z248" s="30">
        <f t="shared" si="17"/>
        <v>7</v>
      </c>
      <c r="AA248" s="30"/>
      <c r="AB248" s="30"/>
      <c r="AC248" s="30"/>
      <c r="AD248" s="30"/>
      <c r="AE248" s="30"/>
      <c r="AF248" s="30"/>
      <c r="AG248" s="30"/>
      <c r="AH248" s="30"/>
      <c r="AI248" s="30"/>
      <c r="AJ248" s="32"/>
      <c r="AK248" s="32"/>
      <c r="AL248" s="32"/>
    </row>
    <row r="249" ht="14.25" customHeight="1">
      <c r="A249" s="23">
        <v>248.0</v>
      </c>
      <c r="B249" s="24" t="s">
        <v>26</v>
      </c>
      <c r="C249" s="25" t="s">
        <v>259</v>
      </c>
      <c r="D249" s="24">
        <v>0.0</v>
      </c>
      <c r="E249" s="24"/>
      <c r="F249" s="24">
        <v>0.0</v>
      </c>
      <c r="G249" s="24"/>
      <c r="H249" s="24"/>
      <c r="I249" s="24">
        <v>9872.75</v>
      </c>
      <c r="J249" s="26">
        <v>391.3799999999992</v>
      </c>
      <c r="K249" s="26"/>
      <c r="L249" s="26"/>
      <c r="M249" s="26"/>
      <c r="N249" s="26">
        <v>14.0</v>
      </c>
      <c r="O249" s="36">
        <f t="shared" si="1"/>
        <v>200</v>
      </c>
      <c r="P249" s="36">
        <f t="shared" si="18"/>
        <v>591</v>
      </c>
      <c r="Q249" s="37">
        <f t="shared" si="19"/>
        <v>9282</v>
      </c>
      <c r="R249" s="38">
        <f t="shared" si="4"/>
        <v>272663</v>
      </c>
      <c r="S249" s="39">
        <f t="shared" si="11"/>
        <v>-60658</v>
      </c>
      <c r="T249" s="30">
        <f t="shared" si="12"/>
        <v>371</v>
      </c>
      <c r="U249" s="30">
        <f t="shared" si="13"/>
        <v>933</v>
      </c>
      <c r="V249" s="30">
        <f t="shared" si="14"/>
        <v>629</v>
      </c>
      <c r="W249" s="30">
        <f t="shared" si="15"/>
        <v>67.4</v>
      </c>
      <c r="X249" s="30">
        <v>1200000.0</v>
      </c>
      <c r="Y249" s="30">
        <f t="shared" si="16"/>
        <v>1200000</v>
      </c>
      <c r="Z249" s="30">
        <f t="shared" si="17"/>
        <v>8</v>
      </c>
      <c r="AA249" s="30"/>
      <c r="AB249" s="30"/>
      <c r="AC249" s="30"/>
      <c r="AD249" s="30"/>
      <c r="AE249" s="30"/>
      <c r="AF249" s="30"/>
      <c r="AG249" s="30"/>
      <c r="AH249" s="30"/>
      <c r="AI249" s="30"/>
      <c r="AJ249" s="32"/>
      <c r="AK249" s="32"/>
      <c r="AL249" s="32"/>
    </row>
    <row r="250" ht="14.25" customHeight="1">
      <c r="A250" s="23">
        <v>249.0</v>
      </c>
      <c r="B250" s="24" t="s">
        <v>27</v>
      </c>
      <c r="C250" s="25" t="s">
        <v>260</v>
      </c>
      <c r="D250" s="24">
        <v>0.0</v>
      </c>
      <c r="E250" s="24"/>
      <c r="F250" s="24">
        <v>0.0</v>
      </c>
      <c r="G250" s="24"/>
      <c r="H250" s="24"/>
      <c r="I250" s="24">
        <v>3402.25</v>
      </c>
      <c r="J250" s="26">
        <v>337.4899999999998</v>
      </c>
      <c r="K250" s="26"/>
      <c r="L250" s="26"/>
      <c r="M250" s="26"/>
      <c r="N250" s="26">
        <v>14.0</v>
      </c>
      <c r="O250" s="36">
        <f t="shared" si="1"/>
        <v>200</v>
      </c>
      <c r="P250" s="36">
        <f t="shared" si="18"/>
        <v>537</v>
      </c>
      <c r="Q250" s="37">
        <f t="shared" si="19"/>
        <v>2865</v>
      </c>
      <c r="R250" s="38">
        <f t="shared" si="4"/>
        <v>275528</v>
      </c>
      <c r="S250" s="39">
        <f t="shared" si="11"/>
        <v>-57793</v>
      </c>
      <c r="T250" s="30">
        <f t="shared" si="12"/>
        <v>303</v>
      </c>
      <c r="U250" s="30">
        <f t="shared" si="13"/>
        <v>954</v>
      </c>
      <c r="V250" s="30">
        <f t="shared" si="14"/>
        <v>631</v>
      </c>
      <c r="W250" s="30">
        <f t="shared" si="15"/>
        <v>66.1</v>
      </c>
      <c r="X250" s="30">
        <v>1200000.0</v>
      </c>
      <c r="Y250" s="30">
        <f t="shared" si="16"/>
        <v>1200000</v>
      </c>
      <c r="Z250" s="30">
        <f t="shared" si="17"/>
        <v>8</v>
      </c>
      <c r="AA250" s="30"/>
      <c r="AB250" s="30"/>
      <c r="AC250" s="30"/>
      <c r="AD250" s="30"/>
      <c r="AE250" s="30"/>
      <c r="AF250" s="30"/>
      <c r="AG250" s="30"/>
      <c r="AH250" s="30"/>
      <c r="AI250" s="30"/>
      <c r="AJ250" s="32"/>
      <c r="AK250" s="32"/>
      <c r="AL250" s="32"/>
    </row>
    <row r="251" ht="14.25" customHeight="1">
      <c r="A251" s="23">
        <v>250.0</v>
      </c>
      <c r="B251" s="24" t="s">
        <v>29</v>
      </c>
      <c r="C251" s="25" t="s">
        <v>261</v>
      </c>
      <c r="D251" s="24">
        <v>0.0</v>
      </c>
      <c r="E251" s="24"/>
      <c r="F251" s="24">
        <v>0.0</v>
      </c>
      <c r="G251" s="24"/>
      <c r="H251" s="24"/>
      <c r="I251" s="24">
        <v>8301.25</v>
      </c>
      <c r="J251" s="26">
        <v>347.15999999999985</v>
      </c>
      <c r="K251" s="26"/>
      <c r="L251" s="26"/>
      <c r="M251" s="26"/>
      <c r="N251" s="26">
        <v>14.0</v>
      </c>
      <c r="O251" s="36">
        <f t="shared" si="1"/>
        <v>200</v>
      </c>
      <c r="P251" s="36">
        <f t="shared" si="18"/>
        <v>547</v>
      </c>
      <c r="Q251" s="37">
        <f t="shared" si="19"/>
        <v>7754</v>
      </c>
      <c r="R251" s="38">
        <f t="shared" si="4"/>
        <v>283282</v>
      </c>
      <c r="S251" s="39">
        <f t="shared" si="11"/>
        <v>-50039</v>
      </c>
      <c r="T251" s="30">
        <f t="shared" si="12"/>
        <v>546</v>
      </c>
      <c r="U251" s="30">
        <f t="shared" si="13"/>
        <v>1028</v>
      </c>
      <c r="V251" s="30">
        <f t="shared" si="14"/>
        <v>634</v>
      </c>
      <c r="W251" s="30">
        <f t="shared" si="15"/>
        <v>61.7</v>
      </c>
      <c r="X251" s="30">
        <v>1200000.0</v>
      </c>
      <c r="Y251" s="30">
        <f t="shared" si="16"/>
        <v>1200000</v>
      </c>
      <c r="Z251" s="30">
        <f t="shared" si="17"/>
        <v>9</v>
      </c>
      <c r="AA251" s="30"/>
      <c r="AB251" s="30"/>
      <c r="AC251" s="30"/>
      <c r="AD251" s="30"/>
      <c r="AE251" s="30"/>
      <c r="AF251" s="30"/>
      <c r="AG251" s="30"/>
      <c r="AH251" s="30"/>
      <c r="AI251" s="30"/>
      <c r="AJ251" s="32"/>
      <c r="AK251" s="32"/>
      <c r="AL251" s="32"/>
    </row>
    <row r="252" ht="14.25" customHeight="1">
      <c r="A252" s="23">
        <v>251.0</v>
      </c>
      <c r="B252" s="24" t="s">
        <v>30</v>
      </c>
      <c r="C252" s="25" t="s">
        <v>262</v>
      </c>
      <c r="D252" s="24">
        <v>0.0</v>
      </c>
      <c r="E252" s="24"/>
      <c r="F252" s="24">
        <v>0.0</v>
      </c>
      <c r="G252" s="24"/>
      <c r="H252" s="24"/>
      <c r="I252" s="24">
        <v>-2232.25</v>
      </c>
      <c r="J252" s="26">
        <v>285.3000000000002</v>
      </c>
      <c r="K252" s="26"/>
      <c r="L252" s="26"/>
      <c r="M252" s="26"/>
      <c r="N252" s="26">
        <v>14.0</v>
      </c>
      <c r="O252" s="36">
        <f t="shared" si="1"/>
        <v>200</v>
      </c>
      <c r="P252" s="36">
        <f t="shared" si="18"/>
        <v>485</v>
      </c>
      <c r="Q252" s="37">
        <f t="shared" si="19"/>
        <v>-2717</v>
      </c>
      <c r="R252" s="38">
        <f t="shared" si="4"/>
        <v>280565</v>
      </c>
      <c r="S252" s="39">
        <f t="shared" si="11"/>
        <v>-52756</v>
      </c>
      <c r="T252" s="30">
        <f t="shared" si="12"/>
        <v>786</v>
      </c>
      <c r="U252" s="30">
        <f t="shared" si="13"/>
        <v>900</v>
      </c>
      <c r="V252" s="30">
        <f t="shared" si="14"/>
        <v>637</v>
      </c>
      <c r="W252" s="30">
        <f t="shared" si="15"/>
        <v>70.8</v>
      </c>
      <c r="X252" s="30">
        <v>1200000.0</v>
      </c>
      <c r="Y252" s="30">
        <f t="shared" si="16"/>
        <v>1200000</v>
      </c>
      <c r="Z252" s="30">
        <f t="shared" si="17"/>
        <v>8</v>
      </c>
      <c r="AA252" s="30"/>
      <c r="AB252" s="30"/>
      <c r="AC252" s="30"/>
      <c r="AD252" s="30"/>
      <c r="AE252" s="30"/>
      <c r="AF252" s="30"/>
      <c r="AG252" s="30"/>
      <c r="AH252" s="30"/>
      <c r="AI252" s="30"/>
      <c r="AJ252" s="32"/>
      <c r="AK252" s="32"/>
      <c r="AL252" s="32"/>
    </row>
    <row r="253" ht="14.25" customHeight="1">
      <c r="A253" s="23">
        <v>252.0</v>
      </c>
      <c r="B253" s="24" t="s">
        <v>27</v>
      </c>
      <c r="C253" s="25" t="s">
        <v>263</v>
      </c>
      <c r="D253" s="24">
        <v>0.0</v>
      </c>
      <c r="E253" s="24"/>
      <c r="F253" s="24">
        <v>0.0</v>
      </c>
      <c r="G253" s="24"/>
      <c r="H253" s="24"/>
      <c r="I253" s="24">
        <v>0.0</v>
      </c>
      <c r="J253" s="26">
        <v>0.0</v>
      </c>
      <c r="K253" s="26"/>
      <c r="L253" s="26"/>
      <c r="M253" s="26"/>
      <c r="N253" s="26">
        <v>14.0</v>
      </c>
      <c r="O253" s="36">
        <f t="shared" si="1"/>
        <v>200</v>
      </c>
      <c r="P253" s="36">
        <f t="shared" si="18"/>
        <v>200</v>
      </c>
      <c r="Q253" s="37">
        <f t="shared" si="19"/>
        <v>-200</v>
      </c>
      <c r="R253" s="38">
        <f t="shared" si="4"/>
        <v>280365</v>
      </c>
      <c r="S253" s="39">
        <f t="shared" si="11"/>
        <v>-52956</v>
      </c>
      <c r="T253" s="30">
        <f t="shared" si="12"/>
        <v>952</v>
      </c>
      <c r="U253" s="30">
        <f t="shared" si="13"/>
        <v>773</v>
      </c>
      <c r="V253" s="30">
        <f t="shared" si="14"/>
        <v>637</v>
      </c>
      <c r="W253" s="30">
        <f t="shared" si="15"/>
        <v>82.4</v>
      </c>
      <c r="X253" s="30">
        <v>1200000.0</v>
      </c>
      <c r="Y253" s="30">
        <f t="shared" si="16"/>
        <v>1200000</v>
      </c>
      <c r="Z253" s="30">
        <f t="shared" si="17"/>
        <v>6</v>
      </c>
      <c r="AA253" s="30"/>
      <c r="AB253" s="30"/>
      <c r="AC253" s="30"/>
      <c r="AD253" s="30"/>
      <c r="AE253" s="30"/>
      <c r="AF253" s="30"/>
      <c r="AG253" s="30"/>
      <c r="AH253" s="30"/>
      <c r="AI253" s="30"/>
      <c r="AJ253" s="32"/>
      <c r="AK253" s="32"/>
      <c r="AL253" s="32"/>
    </row>
    <row r="254" ht="14.25" customHeight="1">
      <c r="A254" s="23">
        <v>253.0</v>
      </c>
      <c r="B254" s="24" t="s">
        <v>28</v>
      </c>
      <c r="C254" s="25" t="s">
        <v>264</v>
      </c>
      <c r="D254" s="24">
        <v>0.0</v>
      </c>
      <c r="E254" s="24"/>
      <c r="F254" s="24">
        <v>0.0</v>
      </c>
      <c r="G254" s="24"/>
      <c r="H254" s="24"/>
      <c r="I254" s="24">
        <v>-361.25</v>
      </c>
      <c r="J254" s="26">
        <v>163.26</v>
      </c>
      <c r="K254" s="26"/>
      <c r="L254" s="26"/>
      <c r="M254" s="26"/>
      <c r="N254" s="26">
        <v>14.0</v>
      </c>
      <c r="O254" s="36">
        <f t="shared" si="1"/>
        <v>200</v>
      </c>
      <c r="P254" s="36">
        <f t="shared" si="18"/>
        <v>363</v>
      </c>
      <c r="Q254" s="37">
        <f t="shared" si="19"/>
        <v>-724</v>
      </c>
      <c r="R254" s="38">
        <f t="shared" si="4"/>
        <v>279641</v>
      </c>
      <c r="S254" s="39">
        <f t="shared" si="11"/>
        <v>-53680</v>
      </c>
      <c r="T254" s="30">
        <f t="shared" si="12"/>
        <v>619</v>
      </c>
      <c r="U254" s="30">
        <f t="shared" si="13"/>
        <v>743</v>
      </c>
      <c r="V254" s="30">
        <f t="shared" si="14"/>
        <v>639</v>
      </c>
      <c r="W254" s="30">
        <f t="shared" si="15"/>
        <v>86</v>
      </c>
      <c r="X254" s="30">
        <v>1200000.0</v>
      </c>
      <c r="Y254" s="30">
        <f t="shared" si="16"/>
        <v>1200000</v>
      </c>
      <c r="Z254" s="30">
        <f t="shared" si="17"/>
        <v>6</v>
      </c>
      <c r="AA254" s="30"/>
      <c r="AB254" s="30"/>
      <c r="AC254" s="30"/>
      <c r="AD254" s="30"/>
      <c r="AE254" s="30"/>
      <c r="AF254" s="30"/>
      <c r="AG254" s="30"/>
      <c r="AH254" s="30"/>
      <c r="AI254" s="30"/>
      <c r="AJ254" s="32"/>
      <c r="AK254" s="32"/>
      <c r="AL254" s="32"/>
    </row>
    <row r="255" ht="14.25" customHeight="1">
      <c r="A255" s="23">
        <v>254.0</v>
      </c>
      <c r="B255" s="24" t="s">
        <v>30</v>
      </c>
      <c r="C255" s="25" t="s">
        <v>265</v>
      </c>
      <c r="D255" s="24">
        <v>0.0</v>
      </c>
      <c r="E255" s="24"/>
      <c r="F255" s="24">
        <v>0.0</v>
      </c>
      <c r="G255" s="24"/>
      <c r="H255" s="24"/>
      <c r="I255" s="24">
        <v>0.0</v>
      </c>
      <c r="J255" s="26">
        <v>0.0</v>
      </c>
      <c r="K255" s="26"/>
      <c r="L255" s="26"/>
      <c r="M255" s="26"/>
      <c r="N255" s="26">
        <v>14.0</v>
      </c>
      <c r="O255" s="36">
        <f t="shared" si="1"/>
        <v>200</v>
      </c>
      <c r="P255" s="36">
        <f t="shared" si="18"/>
        <v>200</v>
      </c>
      <c r="Q255" s="37">
        <f t="shared" si="19"/>
        <v>-200</v>
      </c>
      <c r="R255" s="38">
        <f t="shared" si="4"/>
        <v>279441</v>
      </c>
      <c r="S255" s="39">
        <f t="shared" si="11"/>
        <v>-53880</v>
      </c>
      <c r="T255" s="30">
        <f t="shared" si="12"/>
        <v>528</v>
      </c>
      <c r="U255" s="30">
        <f t="shared" si="13"/>
        <v>771</v>
      </c>
      <c r="V255" s="30">
        <f t="shared" si="14"/>
        <v>638</v>
      </c>
      <c r="W255" s="30">
        <f t="shared" si="15"/>
        <v>82.7</v>
      </c>
      <c r="X255" s="30">
        <v>1200000.0</v>
      </c>
      <c r="Y255" s="30">
        <f t="shared" si="16"/>
        <v>1200000</v>
      </c>
      <c r="Z255" s="30">
        <f t="shared" si="17"/>
        <v>6</v>
      </c>
      <c r="AA255" s="30"/>
      <c r="AB255" s="30"/>
      <c r="AC255" s="30"/>
      <c r="AD255" s="30"/>
      <c r="AE255" s="30"/>
      <c r="AF255" s="30"/>
      <c r="AG255" s="30"/>
      <c r="AH255" s="30"/>
      <c r="AI255" s="30"/>
      <c r="AJ255" s="32"/>
      <c r="AK255" s="32"/>
      <c r="AL255" s="32"/>
    </row>
    <row r="256" ht="14.25" customHeight="1">
      <c r="A256" s="23">
        <v>255.0</v>
      </c>
      <c r="B256" s="24" t="s">
        <v>26</v>
      </c>
      <c r="C256" s="25" t="s">
        <v>266</v>
      </c>
      <c r="D256" s="24">
        <v>0.0</v>
      </c>
      <c r="E256" s="24"/>
      <c r="F256" s="24">
        <v>0.0</v>
      </c>
      <c r="G256" s="24"/>
      <c r="H256" s="24"/>
      <c r="I256" s="24">
        <v>3197.0</v>
      </c>
      <c r="J256" s="26">
        <v>241.19000000000005</v>
      </c>
      <c r="K256" s="26"/>
      <c r="L256" s="26"/>
      <c r="M256" s="26"/>
      <c r="N256" s="26">
        <v>14.0</v>
      </c>
      <c r="O256" s="36">
        <f t="shared" si="1"/>
        <v>200</v>
      </c>
      <c r="P256" s="36">
        <f t="shared" si="18"/>
        <v>441</v>
      </c>
      <c r="Q256" s="37">
        <f t="shared" si="19"/>
        <v>2756</v>
      </c>
      <c r="R256" s="38">
        <f t="shared" si="4"/>
        <v>282197</v>
      </c>
      <c r="S256" s="39">
        <f t="shared" si="11"/>
        <v>-51124</v>
      </c>
      <c r="T256" s="30">
        <f t="shared" si="12"/>
        <v>769</v>
      </c>
      <c r="U256" s="30">
        <f t="shared" si="13"/>
        <v>733</v>
      </c>
      <c r="V256" s="30">
        <f t="shared" si="14"/>
        <v>640</v>
      </c>
      <c r="W256" s="30">
        <f t="shared" si="15"/>
        <v>87.3</v>
      </c>
      <c r="X256" s="30">
        <v>1200000.0</v>
      </c>
      <c r="Y256" s="30">
        <f t="shared" si="16"/>
        <v>1200000</v>
      </c>
      <c r="Z256" s="30">
        <f t="shared" si="17"/>
        <v>6</v>
      </c>
      <c r="AA256" s="30"/>
      <c r="AB256" s="30"/>
      <c r="AC256" s="30"/>
      <c r="AD256" s="30"/>
      <c r="AE256" s="30"/>
      <c r="AF256" s="30"/>
      <c r="AG256" s="30"/>
      <c r="AH256" s="30"/>
      <c r="AI256" s="30"/>
      <c r="AJ256" s="32"/>
      <c r="AK256" s="32"/>
      <c r="AL256" s="32"/>
    </row>
    <row r="257" ht="14.25" customHeight="1">
      <c r="A257" s="23">
        <v>256.0</v>
      </c>
      <c r="B257" s="24" t="s">
        <v>27</v>
      </c>
      <c r="C257" s="25" t="s">
        <v>267</v>
      </c>
      <c r="D257" s="24">
        <v>0.0</v>
      </c>
      <c r="E257" s="24"/>
      <c r="F257" s="24">
        <v>0.0</v>
      </c>
      <c r="G257" s="24"/>
      <c r="H257" s="24"/>
      <c r="I257" s="24">
        <v>2570.75</v>
      </c>
      <c r="J257" s="26">
        <v>104.61999999999989</v>
      </c>
      <c r="K257" s="26"/>
      <c r="L257" s="26"/>
      <c r="M257" s="26"/>
      <c r="N257" s="26">
        <v>14.0</v>
      </c>
      <c r="O257" s="36">
        <f t="shared" si="1"/>
        <v>200</v>
      </c>
      <c r="P257" s="36">
        <f t="shared" si="18"/>
        <v>305</v>
      </c>
      <c r="Q257" s="37">
        <f t="shared" si="19"/>
        <v>2266</v>
      </c>
      <c r="R257" s="38">
        <f t="shared" si="4"/>
        <v>284463</v>
      </c>
      <c r="S257" s="39">
        <f t="shared" si="11"/>
        <v>-48858</v>
      </c>
      <c r="T257" s="30">
        <f t="shared" si="12"/>
        <v>992</v>
      </c>
      <c r="U257" s="30">
        <f t="shared" si="13"/>
        <v>747</v>
      </c>
      <c r="V257" s="30">
        <f t="shared" si="14"/>
        <v>639</v>
      </c>
      <c r="W257" s="30">
        <f t="shared" si="15"/>
        <v>85.5</v>
      </c>
      <c r="X257" s="30">
        <v>1200000.0</v>
      </c>
      <c r="Y257" s="30">
        <f t="shared" si="16"/>
        <v>1200000</v>
      </c>
      <c r="Z257" s="30">
        <f t="shared" si="17"/>
        <v>6</v>
      </c>
      <c r="AA257" s="30"/>
      <c r="AB257" s="30"/>
      <c r="AC257" s="30"/>
      <c r="AD257" s="30"/>
      <c r="AE257" s="30"/>
      <c r="AF257" s="30"/>
      <c r="AG257" s="30"/>
      <c r="AH257" s="30"/>
      <c r="AI257" s="30"/>
      <c r="AJ257" s="32"/>
      <c r="AK257" s="32"/>
      <c r="AL257" s="32"/>
    </row>
    <row r="258" ht="14.25" customHeight="1">
      <c r="A258" s="23">
        <v>257.0</v>
      </c>
      <c r="B258" s="24" t="s">
        <v>28</v>
      </c>
      <c r="C258" s="25" t="s">
        <v>268</v>
      </c>
      <c r="D258" s="24">
        <v>0.0</v>
      </c>
      <c r="E258" s="24"/>
      <c r="F258" s="24">
        <v>0.0</v>
      </c>
      <c r="G258" s="24"/>
      <c r="H258" s="24"/>
      <c r="I258" s="24">
        <v>2763.0</v>
      </c>
      <c r="J258" s="26">
        <v>140.7800000000002</v>
      </c>
      <c r="K258" s="26"/>
      <c r="L258" s="26"/>
      <c r="M258" s="26"/>
      <c r="N258" s="26">
        <v>14.0</v>
      </c>
      <c r="O258" s="36">
        <f t="shared" si="1"/>
        <v>200</v>
      </c>
      <c r="P258" s="36">
        <f t="shared" si="18"/>
        <v>341</v>
      </c>
      <c r="Q258" s="37">
        <f t="shared" si="19"/>
        <v>2422</v>
      </c>
      <c r="R258" s="38">
        <f t="shared" si="4"/>
        <v>286885</v>
      </c>
      <c r="S258" s="39">
        <f t="shared" si="11"/>
        <v>-46436</v>
      </c>
      <c r="T258" s="30">
        <f t="shared" si="12"/>
        <v>1115</v>
      </c>
      <c r="U258" s="30">
        <f t="shared" si="13"/>
        <v>786</v>
      </c>
      <c r="V258" s="30">
        <f t="shared" si="14"/>
        <v>637</v>
      </c>
      <c r="W258" s="30">
        <f t="shared" si="15"/>
        <v>81</v>
      </c>
      <c r="X258" s="30">
        <v>1200000.0</v>
      </c>
      <c r="Y258" s="30">
        <f t="shared" si="16"/>
        <v>1200000</v>
      </c>
      <c r="Z258" s="30">
        <f t="shared" si="17"/>
        <v>7</v>
      </c>
      <c r="AA258" s="30"/>
      <c r="AB258" s="30"/>
      <c r="AC258" s="30"/>
      <c r="AD258" s="30"/>
      <c r="AE258" s="30"/>
      <c r="AF258" s="30"/>
      <c r="AG258" s="30"/>
      <c r="AH258" s="30"/>
      <c r="AI258" s="30"/>
      <c r="AJ258" s="32"/>
      <c r="AK258" s="32"/>
      <c r="AL258" s="32"/>
    </row>
    <row r="259" ht="14.25" customHeight="1">
      <c r="A259" s="23">
        <v>258.0</v>
      </c>
      <c r="B259" s="24" t="s">
        <v>29</v>
      </c>
      <c r="C259" s="25" t="s">
        <v>269</v>
      </c>
      <c r="D259" s="24">
        <v>0.0</v>
      </c>
      <c r="E259" s="24"/>
      <c r="F259" s="24">
        <v>0.0</v>
      </c>
      <c r="G259" s="24"/>
      <c r="H259" s="24"/>
      <c r="I259" s="24">
        <v>-538.0</v>
      </c>
      <c r="J259" s="26">
        <v>171.01999999999998</v>
      </c>
      <c r="K259" s="26"/>
      <c r="L259" s="26"/>
      <c r="M259" s="26"/>
      <c r="N259" s="26">
        <v>14.0</v>
      </c>
      <c r="O259" s="36">
        <f t="shared" si="1"/>
        <v>200</v>
      </c>
      <c r="P259" s="36">
        <f t="shared" si="18"/>
        <v>371</v>
      </c>
      <c r="Q259" s="37">
        <f t="shared" si="19"/>
        <v>-909</v>
      </c>
      <c r="R259" s="38">
        <f t="shared" si="4"/>
        <v>285976</v>
      </c>
      <c r="S259" s="39">
        <f t="shared" si="11"/>
        <v>-47345</v>
      </c>
      <c r="T259" s="30">
        <f t="shared" si="12"/>
        <v>879</v>
      </c>
      <c r="U259" s="30">
        <f t="shared" si="13"/>
        <v>871</v>
      </c>
      <c r="V259" s="30">
        <f t="shared" si="14"/>
        <v>632</v>
      </c>
      <c r="W259" s="30">
        <f t="shared" si="15"/>
        <v>72.6</v>
      </c>
      <c r="X259" s="30">
        <v>1200000.0</v>
      </c>
      <c r="Y259" s="30">
        <f t="shared" si="16"/>
        <v>1200000</v>
      </c>
      <c r="Z259" s="30">
        <f t="shared" si="17"/>
        <v>7</v>
      </c>
      <c r="AA259" s="30"/>
      <c r="AB259" s="30"/>
      <c r="AC259" s="30"/>
      <c r="AD259" s="30"/>
      <c r="AE259" s="30"/>
      <c r="AF259" s="30"/>
      <c r="AG259" s="30"/>
      <c r="AH259" s="30"/>
      <c r="AI259" s="30"/>
      <c r="AJ259" s="32"/>
      <c r="AK259" s="32"/>
      <c r="AL259" s="32"/>
    </row>
    <row r="260" ht="14.25" customHeight="1">
      <c r="A260" s="23">
        <v>259.0</v>
      </c>
      <c r="B260" s="24" t="s">
        <v>30</v>
      </c>
      <c r="C260" s="25" t="s">
        <v>270</v>
      </c>
      <c r="D260" s="24">
        <v>0.0</v>
      </c>
      <c r="E260" s="24"/>
      <c r="F260" s="24">
        <v>0.0</v>
      </c>
      <c r="G260" s="24"/>
      <c r="H260" s="24"/>
      <c r="I260" s="24">
        <v>8093.25</v>
      </c>
      <c r="J260" s="26">
        <v>216.89000000000033</v>
      </c>
      <c r="K260" s="26"/>
      <c r="L260" s="26"/>
      <c r="M260" s="26"/>
      <c r="N260" s="26">
        <v>14.0</v>
      </c>
      <c r="O260" s="36">
        <f t="shared" si="1"/>
        <v>200</v>
      </c>
      <c r="P260" s="36">
        <f t="shared" si="18"/>
        <v>417</v>
      </c>
      <c r="Q260" s="37">
        <f t="shared" si="19"/>
        <v>7676</v>
      </c>
      <c r="R260" s="38">
        <f t="shared" si="4"/>
        <v>293652</v>
      </c>
      <c r="S260" s="39">
        <f t="shared" si="11"/>
        <v>-39669</v>
      </c>
      <c r="T260" s="30">
        <f t="shared" si="12"/>
        <v>899</v>
      </c>
      <c r="U260" s="30">
        <f t="shared" si="13"/>
        <v>820</v>
      </c>
      <c r="V260" s="30">
        <f t="shared" si="14"/>
        <v>631</v>
      </c>
      <c r="W260" s="30">
        <f t="shared" si="15"/>
        <v>77</v>
      </c>
      <c r="X260" s="30">
        <v>1200000.0</v>
      </c>
      <c r="Y260" s="30">
        <f t="shared" si="16"/>
        <v>1200000</v>
      </c>
      <c r="Z260" s="30">
        <f t="shared" si="17"/>
        <v>7</v>
      </c>
      <c r="AA260" s="30"/>
      <c r="AB260" s="30"/>
      <c r="AC260" s="30"/>
      <c r="AD260" s="30"/>
      <c r="AE260" s="30"/>
      <c r="AF260" s="30"/>
      <c r="AG260" s="30"/>
      <c r="AH260" s="30"/>
      <c r="AI260" s="30"/>
      <c r="AJ260" s="32"/>
      <c r="AK260" s="32"/>
      <c r="AL260" s="32"/>
    </row>
    <row r="261" ht="14.25" customHeight="1">
      <c r="A261" s="23">
        <v>260.0</v>
      </c>
      <c r="B261" s="24" t="s">
        <v>27</v>
      </c>
      <c r="C261" s="25" t="s">
        <v>271</v>
      </c>
      <c r="D261" s="24">
        <v>0.0</v>
      </c>
      <c r="E261" s="24"/>
      <c r="F261" s="24">
        <v>0.0</v>
      </c>
      <c r="G261" s="24"/>
      <c r="H261" s="24"/>
      <c r="I261" s="24">
        <v>1514.0</v>
      </c>
      <c r="J261" s="26">
        <v>33.1099999999999</v>
      </c>
      <c r="K261" s="26"/>
      <c r="L261" s="26"/>
      <c r="M261" s="26"/>
      <c r="N261" s="26">
        <v>14.0</v>
      </c>
      <c r="O261" s="36">
        <f t="shared" si="1"/>
        <v>200</v>
      </c>
      <c r="P261" s="36">
        <f t="shared" si="18"/>
        <v>233</v>
      </c>
      <c r="Q261" s="37">
        <f t="shared" si="19"/>
        <v>1281</v>
      </c>
      <c r="R261" s="38">
        <f t="shared" si="4"/>
        <v>294933</v>
      </c>
      <c r="S261" s="39">
        <f t="shared" si="11"/>
        <v>-38388</v>
      </c>
      <c r="T261" s="30">
        <f t="shared" si="12"/>
        <v>786</v>
      </c>
      <c r="U261" s="30">
        <f t="shared" si="13"/>
        <v>779</v>
      </c>
      <c r="V261" s="30">
        <f t="shared" si="14"/>
        <v>631</v>
      </c>
      <c r="W261" s="30">
        <f t="shared" si="15"/>
        <v>81</v>
      </c>
      <c r="X261" s="30">
        <v>1200000.0</v>
      </c>
      <c r="Y261" s="30">
        <f t="shared" si="16"/>
        <v>1200000</v>
      </c>
      <c r="Z261" s="30">
        <f t="shared" si="17"/>
        <v>6</v>
      </c>
      <c r="AA261" s="30"/>
      <c r="AB261" s="30"/>
      <c r="AC261" s="30"/>
      <c r="AD261" s="30"/>
      <c r="AE261" s="30"/>
      <c r="AF261" s="30"/>
      <c r="AG261" s="30"/>
      <c r="AH261" s="30"/>
      <c r="AI261" s="30"/>
      <c r="AJ261" s="32"/>
      <c r="AK261" s="32"/>
      <c r="AL261" s="32"/>
    </row>
    <row r="262" ht="14.25" customHeight="1">
      <c r="A262" s="23">
        <v>261.0</v>
      </c>
      <c r="B262" s="24" t="s">
        <v>28</v>
      </c>
      <c r="C262" s="25" t="s">
        <v>272</v>
      </c>
      <c r="D262" s="24">
        <v>0.0</v>
      </c>
      <c r="E262" s="24"/>
      <c r="F262" s="24">
        <v>0.0</v>
      </c>
      <c r="G262" s="24"/>
      <c r="H262" s="24"/>
      <c r="I262" s="24">
        <v>89.0</v>
      </c>
      <c r="J262" s="26">
        <v>198.28</v>
      </c>
      <c r="K262" s="26"/>
      <c r="L262" s="26"/>
      <c r="M262" s="26"/>
      <c r="N262" s="26">
        <v>14.0</v>
      </c>
      <c r="O262" s="36">
        <f t="shared" si="1"/>
        <v>200</v>
      </c>
      <c r="P262" s="36">
        <f t="shared" si="18"/>
        <v>398</v>
      </c>
      <c r="Q262" s="37">
        <f t="shared" si="19"/>
        <v>-309</v>
      </c>
      <c r="R262" s="38">
        <f t="shared" si="4"/>
        <v>294624</v>
      </c>
      <c r="S262" s="39">
        <f t="shared" si="11"/>
        <v>-38697</v>
      </c>
      <c r="T262" s="30">
        <f t="shared" si="12"/>
        <v>641</v>
      </c>
      <c r="U262" s="30">
        <f t="shared" si="13"/>
        <v>855</v>
      </c>
      <c r="V262" s="30">
        <f t="shared" si="14"/>
        <v>629</v>
      </c>
      <c r="W262" s="30">
        <f t="shared" si="15"/>
        <v>73.6</v>
      </c>
      <c r="X262" s="30">
        <v>1200000.0</v>
      </c>
      <c r="Y262" s="30">
        <f t="shared" si="16"/>
        <v>1200000</v>
      </c>
      <c r="Z262" s="30">
        <f t="shared" si="17"/>
        <v>7</v>
      </c>
      <c r="AA262" s="30"/>
      <c r="AB262" s="30"/>
      <c r="AC262" s="30"/>
      <c r="AD262" s="30"/>
      <c r="AE262" s="30"/>
      <c r="AF262" s="30"/>
      <c r="AG262" s="30"/>
      <c r="AH262" s="30"/>
      <c r="AI262" s="30"/>
      <c r="AJ262" s="32"/>
      <c r="AK262" s="32"/>
      <c r="AL262" s="32"/>
    </row>
    <row r="263" ht="14.25" customHeight="1">
      <c r="A263" s="23">
        <v>262.0</v>
      </c>
      <c r="B263" s="24" t="s">
        <v>29</v>
      </c>
      <c r="C263" s="25" t="s">
        <v>273</v>
      </c>
      <c r="D263" s="24">
        <v>0.0</v>
      </c>
      <c r="E263" s="24"/>
      <c r="F263" s="24">
        <v>0.0</v>
      </c>
      <c r="G263" s="24"/>
      <c r="H263" s="24"/>
      <c r="I263" s="24">
        <v>-324.25</v>
      </c>
      <c r="J263" s="26">
        <v>369.91999999999996</v>
      </c>
      <c r="K263" s="26"/>
      <c r="L263" s="26"/>
      <c r="M263" s="26"/>
      <c r="N263" s="26">
        <v>14.0</v>
      </c>
      <c r="O263" s="36">
        <f t="shared" si="1"/>
        <v>200</v>
      </c>
      <c r="P263" s="36">
        <f t="shared" si="18"/>
        <v>570</v>
      </c>
      <c r="Q263" s="37">
        <f t="shared" si="19"/>
        <v>-894</v>
      </c>
      <c r="R263" s="38">
        <f t="shared" si="4"/>
        <v>293730</v>
      </c>
      <c r="S263" s="39">
        <f t="shared" si="11"/>
        <v>-39591</v>
      </c>
      <c r="T263" s="30">
        <f t="shared" si="12"/>
        <v>524</v>
      </c>
      <c r="U263" s="30">
        <f t="shared" si="13"/>
        <v>927</v>
      </c>
      <c r="V263" s="30">
        <f t="shared" si="14"/>
        <v>620</v>
      </c>
      <c r="W263" s="30">
        <f t="shared" si="15"/>
        <v>66.9</v>
      </c>
      <c r="X263" s="30">
        <v>1200000.0</v>
      </c>
      <c r="Y263" s="30">
        <f t="shared" si="16"/>
        <v>1200000</v>
      </c>
      <c r="Z263" s="30">
        <f t="shared" si="17"/>
        <v>8</v>
      </c>
      <c r="AA263" s="30"/>
      <c r="AB263" s="30"/>
      <c r="AC263" s="30"/>
      <c r="AD263" s="30"/>
      <c r="AE263" s="30"/>
      <c r="AF263" s="30"/>
      <c r="AG263" s="30"/>
      <c r="AH263" s="30"/>
      <c r="AI263" s="30"/>
      <c r="AJ263" s="32"/>
      <c r="AK263" s="32"/>
      <c r="AL263" s="32"/>
    </row>
    <row r="264" ht="14.25" customHeight="1">
      <c r="A264" s="23">
        <v>263.0</v>
      </c>
      <c r="B264" s="24" t="s">
        <v>30</v>
      </c>
      <c r="C264" s="25" t="s">
        <v>274</v>
      </c>
      <c r="D264" s="24">
        <v>0.0</v>
      </c>
      <c r="E264" s="24"/>
      <c r="F264" s="24">
        <v>0.0</v>
      </c>
      <c r="G264" s="24"/>
      <c r="H264" s="24"/>
      <c r="I264" s="24">
        <v>3431.25</v>
      </c>
      <c r="J264" s="26">
        <v>673.71</v>
      </c>
      <c r="K264" s="26"/>
      <c r="L264" s="26"/>
      <c r="M264" s="26"/>
      <c r="N264" s="26">
        <v>14.0</v>
      </c>
      <c r="O264" s="36">
        <f t="shared" si="1"/>
        <v>200</v>
      </c>
      <c r="P264" s="36">
        <f t="shared" si="18"/>
        <v>874</v>
      </c>
      <c r="Q264" s="37">
        <f t="shared" si="19"/>
        <v>2557</v>
      </c>
      <c r="R264" s="38">
        <f t="shared" si="4"/>
        <v>296287</v>
      </c>
      <c r="S264" s="39">
        <f t="shared" si="11"/>
        <v>-37034</v>
      </c>
      <c r="T264" s="30">
        <f t="shared" si="12"/>
        <v>209</v>
      </c>
      <c r="U264" s="30">
        <f t="shared" si="13"/>
        <v>828</v>
      </c>
      <c r="V264" s="30">
        <f t="shared" si="14"/>
        <v>627</v>
      </c>
      <c r="W264" s="30">
        <f t="shared" si="15"/>
        <v>75.7</v>
      </c>
      <c r="X264" s="30">
        <v>1200000.0</v>
      </c>
      <c r="Y264" s="30">
        <f t="shared" si="16"/>
        <v>1200000</v>
      </c>
      <c r="Z264" s="30">
        <f t="shared" si="17"/>
        <v>7</v>
      </c>
      <c r="AA264" s="30"/>
      <c r="AB264" s="30"/>
      <c r="AC264" s="30"/>
      <c r="AD264" s="30"/>
      <c r="AE264" s="30"/>
      <c r="AF264" s="30"/>
      <c r="AG264" s="30"/>
      <c r="AH264" s="30"/>
      <c r="AI264" s="30"/>
      <c r="AJ264" s="32"/>
      <c r="AK264" s="32"/>
      <c r="AL264" s="32"/>
    </row>
    <row r="265" ht="14.25" customHeight="1">
      <c r="A265" s="23">
        <v>264.0</v>
      </c>
      <c r="B265" s="24" t="s">
        <v>26</v>
      </c>
      <c r="C265" s="25" t="s">
        <v>275</v>
      </c>
      <c r="D265" s="24">
        <v>0.0</v>
      </c>
      <c r="E265" s="24"/>
      <c r="F265" s="24">
        <v>0.0</v>
      </c>
      <c r="G265" s="24"/>
      <c r="H265" s="24"/>
      <c r="I265" s="24">
        <v>10598.5</v>
      </c>
      <c r="J265" s="26">
        <v>96.38999999999942</v>
      </c>
      <c r="K265" s="26"/>
      <c r="L265" s="26"/>
      <c r="M265" s="26"/>
      <c r="N265" s="26">
        <v>14.0</v>
      </c>
      <c r="O265" s="36">
        <f t="shared" si="1"/>
        <v>200</v>
      </c>
      <c r="P265" s="36">
        <f t="shared" si="18"/>
        <v>296</v>
      </c>
      <c r="Q265" s="37">
        <f t="shared" si="19"/>
        <v>10303</v>
      </c>
      <c r="R265" s="38">
        <f t="shared" si="4"/>
        <v>306590</v>
      </c>
      <c r="S265" s="39">
        <f t="shared" si="11"/>
        <v>-26731</v>
      </c>
      <c r="T265" s="30">
        <f t="shared" si="12"/>
        <v>-342</v>
      </c>
      <c r="U265" s="30">
        <f t="shared" si="13"/>
        <v>908</v>
      </c>
      <c r="V265" s="30">
        <f t="shared" si="14"/>
        <v>627</v>
      </c>
      <c r="W265" s="30">
        <f t="shared" si="15"/>
        <v>69.1</v>
      </c>
      <c r="X265" s="30">
        <v>1200000.0</v>
      </c>
      <c r="Y265" s="30">
        <f t="shared" si="16"/>
        <v>1200000</v>
      </c>
      <c r="Z265" s="30">
        <f t="shared" si="17"/>
        <v>8</v>
      </c>
      <c r="AA265" s="30"/>
      <c r="AB265" s="30"/>
      <c r="AC265" s="30"/>
      <c r="AD265" s="30"/>
      <c r="AE265" s="30"/>
      <c r="AF265" s="30"/>
      <c r="AG265" s="30"/>
      <c r="AH265" s="30"/>
      <c r="AI265" s="30"/>
      <c r="AJ265" s="32"/>
      <c r="AK265" s="32"/>
      <c r="AL265" s="32"/>
    </row>
    <row r="266" ht="14.25" customHeight="1">
      <c r="A266" s="23">
        <v>265.0</v>
      </c>
      <c r="B266" s="24" t="s">
        <v>27</v>
      </c>
      <c r="C266" s="25" t="s">
        <v>276</v>
      </c>
      <c r="D266" s="24">
        <v>0.0</v>
      </c>
      <c r="E266" s="24"/>
      <c r="F266" s="24">
        <v>0.0</v>
      </c>
      <c r="G266" s="24"/>
      <c r="H266" s="24"/>
      <c r="I266" s="24">
        <v>593.5</v>
      </c>
      <c r="J266" s="26">
        <v>477.43</v>
      </c>
      <c r="K266" s="26"/>
      <c r="L266" s="26"/>
      <c r="M266" s="26"/>
      <c r="N266" s="26">
        <v>14.0</v>
      </c>
      <c r="O266" s="36">
        <f t="shared" si="1"/>
        <v>200</v>
      </c>
      <c r="P266" s="36">
        <f t="shared" si="18"/>
        <v>677</v>
      </c>
      <c r="Q266" s="37">
        <f t="shared" si="19"/>
        <v>-84</v>
      </c>
      <c r="R266" s="38">
        <f t="shared" si="4"/>
        <v>306506</v>
      </c>
      <c r="S266" s="39">
        <f t="shared" si="11"/>
        <v>-26815</v>
      </c>
      <c r="T266" s="30">
        <f t="shared" si="12"/>
        <v>-351</v>
      </c>
      <c r="U266" s="30">
        <f t="shared" si="13"/>
        <v>921</v>
      </c>
      <c r="V266" s="30">
        <f t="shared" si="14"/>
        <v>631</v>
      </c>
      <c r="W266" s="30">
        <f t="shared" si="15"/>
        <v>68.5</v>
      </c>
      <c r="X266" s="30">
        <v>1200000.0</v>
      </c>
      <c r="Y266" s="30">
        <f t="shared" si="16"/>
        <v>1200000</v>
      </c>
      <c r="Z266" s="30">
        <f t="shared" si="17"/>
        <v>8</v>
      </c>
      <c r="AA266" s="30"/>
      <c r="AB266" s="30"/>
      <c r="AC266" s="30"/>
      <c r="AD266" s="30"/>
      <c r="AE266" s="30"/>
      <c r="AF266" s="30"/>
      <c r="AG266" s="30"/>
      <c r="AH266" s="30"/>
      <c r="AI266" s="30"/>
      <c r="AJ266" s="32"/>
      <c r="AK266" s="32"/>
      <c r="AL266" s="32"/>
    </row>
    <row r="267" ht="14.25" customHeight="1">
      <c r="A267" s="23">
        <v>266.0</v>
      </c>
      <c r="B267" s="24" t="s">
        <v>28</v>
      </c>
      <c r="C267" s="25" t="s">
        <v>277</v>
      </c>
      <c r="D267" s="24">
        <v>0.0</v>
      </c>
      <c r="E267" s="24"/>
      <c r="F267" s="24">
        <v>0.0</v>
      </c>
      <c r="G267" s="24"/>
      <c r="H267" s="24"/>
      <c r="I267" s="24">
        <v>-11081.0</v>
      </c>
      <c r="J267" s="26">
        <v>838.9200000000001</v>
      </c>
      <c r="K267" s="26"/>
      <c r="L267" s="26"/>
      <c r="M267" s="26"/>
      <c r="N267" s="26">
        <v>14.0</v>
      </c>
      <c r="O267" s="36">
        <f t="shared" si="1"/>
        <v>200</v>
      </c>
      <c r="P267" s="36">
        <f t="shared" si="18"/>
        <v>1039</v>
      </c>
      <c r="Q267" s="37">
        <f t="shared" si="19"/>
        <v>-12120</v>
      </c>
      <c r="R267" s="38">
        <f t="shared" si="4"/>
        <v>294386</v>
      </c>
      <c r="S267" s="39">
        <f t="shared" si="11"/>
        <v>-38935</v>
      </c>
      <c r="T267" s="30">
        <f t="shared" si="12"/>
        <v>-506</v>
      </c>
      <c r="U267" s="30">
        <f t="shared" si="13"/>
        <v>846</v>
      </c>
      <c r="V267" s="30">
        <f t="shared" si="14"/>
        <v>638</v>
      </c>
      <c r="W267" s="30">
        <f t="shared" si="15"/>
        <v>75.4</v>
      </c>
      <c r="X267" s="30">
        <v>1200000.0</v>
      </c>
      <c r="Y267" s="30">
        <f t="shared" si="16"/>
        <v>1200000</v>
      </c>
      <c r="Z267" s="30">
        <f t="shared" si="17"/>
        <v>7</v>
      </c>
      <c r="AA267" s="30"/>
      <c r="AB267" s="30"/>
      <c r="AC267" s="30"/>
      <c r="AD267" s="30"/>
      <c r="AE267" s="30"/>
      <c r="AF267" s="30"/>
      <c r="AG267" s="30"/>
      <c r="AH267" s="30"/>
      <c r="AI267" s="30"/>
      <c r="AJ267" s="32"/>
      <c r="AK267" s="32"/>
      <c r="AL267" s="32"/>
    </row>
    <row r="268" ht="14.25" customHeight="1">
      <c r="A268" s="23">
        <v>267.0</v>
      </c>
      <c r="B268" s="24" t="s">
        <v>29</v>
      </c>
      <c r="C268" s="25" t="s">
        <v>278</v>
      </c>
      <c r="D268" s="24">
        <v>0.0</v>
      </c>
      <c r="E268" s="24"/>
      <c r="F268" s="24">
        <v>0.0</v>
      </c>
      <c r="G268" s="24"/>
      <c r="H268" s="24"/>
      <c r="I268" s="24">
        <v>-9275.75</v>
      </c>
      <c r="J268" s="26">
        <v>739.3600000000006</v>
      </c>
      <c r="K268" s="26"/>
      <c r="L268" s="26"/>
      <c r="M268" s="26"/>
      <c r="N268" s="26">
        <v>14.0</v>
      </c>
      <c r="O268" s="36">
        <f t="shared" si="1"/>
        <v>200</v>
      </c>
      <c r="P268" s="36">
        <f t="shared" si="18"/>
        <v>939</v>
      </c>
      <c r="Q268" s="37">
        <f t="shared" si="19"/>
        <v>-10215</v>
      </c>
      <c r="R268" s="38">
        <f t="shared" si="4"/>
        <v>284171</v>
      </c>
      <c r="S268" s="39">
        <f t="shared" si="11"/>
        <v>-49150</v>
      </c>
      <c r="T268" s="30">
        <f t="shared" si="12"/>
        <v>-632</v>
      </c>
      <c r="U268" s="30">
        <f t="shared" si="13"/>
        <v>885</v>
      </c>
      <c r="V268" s="30">
        <f t="shared" si="14"/>
        <v>642</v>
      </c>
      <c r="W268" s="30">
        <f t="shared" si="15"/>
        <v>72.5</v>
      </c>
      <c r="X268" s="30">
        <v>1200000.0</v>
      </c>
      <c r="Y268" s="30">
        <f t="shared" si="16"/>
        <v>1200000</v>
      </c>
      <c r="Z268" s="30">
        <f t="shared" si="17"/>
        <v>7</v>
      </c>
      <c r="AA268" s="30"/>
      <c r="AB268" s="30"/>
      <c r="AC268" s="30"/>
      <c r="AD268" s="30"/>
      <c r="AE268" s="30"/>
      <c r="AF268" s="30"/>
      <c r="AG268" s="30"/>
      <c r="AH268" s="30"/>
      <c r="AI268" s="30"/>
      <c r="AJ268" s="32"/>
      <c r="AK268" s="32"/>
      <c r="AL268" s="32"/>
    </row>
    <row r="269" ht="14.25" customHeight="1">
      <c r="A269" s="23">
        <v>268.0</v>
      </c>
      <c r="B269" s="24" t="s">
        <v>26</v>
      </c>
      <c r="C269" s="25" t="s">
        <v>279</v>
      </c>
      <c r="D269" s="24">
        <v>0.0</v>
      </c>
      <c r="E269" s="24"/>
      <c r="F269" s="24">
        <v>0.0</v>
      </c>
      <c r="G269" s="24"/>
      <c r="H269" s="24"/>
      <c r="I269" s="24">
        <v>2604.5</v>
      </c>
      <c r="J269" s="26">
        <v>242.61000000000013</v>
      </c>
      <c r="K269" s="26"/>
      <c r="L269" s="26"/>
      <c r="M269" s="26"/>
      <c r="N269" s="26">
        <v>14.0</v>
      </c>
      <c r="O269" s="36">
        <f t="shared" si="1"/>
        <v>200</v>
      </c>
      <c r="P269" s="36">
        <f t="shared" si="18"/>
        <v>443</v>
      </c>
      <c r="Q269" s="37">
        <f t="shared" si="19"/>
        <v>2162</v>
      </c>
      <c r="R269" s="38">
        <f t="shared" si="4"/>
        <v>286333</v>
      </c>
      <c r="S269" s="39">
        <f t="shared" si="11"/>
        <v>-46988</v>
      </c>
      <c r="T269" s="30">
        <f t="shared" si="12"/>
        <v>-562</v>
      </c>
      <c r="U269" s="30">
        <f t="shared" si="13"/>
        <v>943</v>
      </c>
      <c r="V269" s="30">
        <f t="shared" si="14"/>
        <v>645</v>
      </c>
      <c r="W269" s="30">
        <f t="shared" si="15"/>
        <v>68.4</v>
      </c>
      <c r="X269" s="30">
        <v>1200000.0</v>
      </c>
      <c r="Y269" s="30">
        <f t="shared" si="16"/>
        <v>1200000</v>
      </c>
      <c r="Z269" s="30">
        <f t="shared" si="17"/>
        <v>8</v>
      </c>
      <c r="AA269" s="30"/>
      <c r="AB269" s="30"/>
      <c r="AC269" s="30"/>
      <c r="AD269" s="30"/>
      <c r="AE269" s="30"/>
      <c r="AF269" s="30"/>
      <c r="AG269" s="30"/>
      <c r="AH269" s="30"/>
      <c r="AI269" s="30"/>
      <c r="AJ269" s="32"/>
      <c r="AK269" s="32"/>
      <c r="AL269" s="32"/>
    </row>
    <row r="270" ht="14.25" customHeight="1">
      <c r="A270" s="23">
        <v>269.0</v>
      </c>
      <c r="B270" s="24" t="s">
        <v>27</v>
      </c>
      <c r="C270" s="25" t="s">
        <v>280</v>
      </c>
      <c r="D270" s="24">
        <v>0.0</v>
      </c>
      <c r="E270" s="24"/>
      <c r="F270" s="24">
        <v>0.0</v>
      </c>
      <c r="G270" s="24"/>
      <c r="H270" s="24"/>
      <c r="I270" s="24">
        <v>-7289.75</v>
      </c>
      <c r="J270" s="26">
        <v>359.1999999999998</v>
      </c>
      <c r="K270" s="26"/>
      <c r="L270" s="26"/>
      <c r="M270" s="26"/>
      <c r="N270" s="26">
        <v>14.0</v>
      </c>
      <c r="O270" s="36">
        <f t="shared" si="1"/>
        <v>200</v>
      </c>
      <c r="P270" s="36">
        <f t="shared" si="18"/>
        <v>559</v>
      </c>
      <c r="Q270" s="37">
        <f t="shared" si="19"/>
        <v>-7849</v>
      </c>
      <c r="R270" s="38">
        <f t="shared" si="4"/>
        <v>278484</v>
      </c>
      <c r="S270" s="39">
        <f t="shared" si="11"/>
        <v>-54837</v>
      </c>
      <c r="T270" s="30">
        <f t="shared" si="12"/>
        <v>-824</v>
      </c>
      <c r="U270" s="30">
        <f t="shared" si="13"/>
        <v>800</v>
      </c>
      <c r="V270" s="30">
        <f t="shared" si="14"/>
        <v>649</v>
      </c>
      <c r="W270" s="30">
        <f t="shared" si="15"/>
        <v>81.1</v>
      </c>
      <c r="X270" s="30">
        <v>1200000.0</v>
      </c>
      <c r="Y270" s="30">
        <f t="shared" si="16"/>
        <v>1200000</v>
      </c>
      <c r="Z270" s="30">
        <f t="shared" si="17"/>
        <v>7</v>
      </c>
      <c r="AA270" s="30"/>
      <c r="AB270" s="30"/>
      <c r="AC270" s="30"/>
      <c r="AD270" s="30"/>
      <c r="AE270" s="30"/>
      <c r="AF270" s="30"/>
      <c r="AG270" s="30"/>
      <c r="AH270" s="30"/>
      <c r="AI270" s="30"/>
      <c r="AJ270" s="32"/>
      <c r="AK270" s="32"/>
      <c r="AL270" s="32"/>
    </row>
    <row r="271" ht="14.25" customHeight="1">
      <c r="A271" s="23">
        <v>270.0</v>
      </c>
      <c r="B271" s="24" t="s">
        <v>28</v>
      </c>
      <c r="C271" s="25" t="s">
        <v>281</v>
      </c>
      <c r="D271" s="24">
        <v>0.0</v>
      </c>
      <c r="E271" s="24"/>
      <c r="F271" s="24">
        <v>0.0</v>
      </c>
      <c r="G271" s="24"/>
      <c r="H271" s="24"/>
      <c r="I271" s="24">
        <v>12261.5</v>
      </c>
      <c r="J271" s="26">
        <v>1062.6399999999994</v>
      </c>
      <c r="K271" s="26"/>
      <c r="L271" s="26"/>
      <c r="M271" s="26"/>
      <c r="N271" s="26">
        <v>14.0</v>
      </c>
      <c r="O271" s="36">
        <f t="shared" si="1"/>
        <v>200</v>
      </c>
      <c r="P271" s="36">
        <f t="shared" si="18"/>
        <v>1263</v>
      </c>
      <c r="Q271" s="37">
        <f t="shared" si="19"/>
        <v>10999</v>
      </c>
      <c r="R271" s="38">
        <f t="shared" si="4"/>
        <v>289483</v>
      </c>
      <c r="S271" s="39">
        <f t="shared" si="11"/>
        <v>-43838</v>
      </c>
      <c r="T271" s="30">
        <f t="shared" si="12"/>
        <v>-738</v>
      </c>
      <c r="U271" s="30">
        <f t="shared" si="13"/>
        <v>947</v>
      </c>
      <c r="V271" s="30">
        <f t="shared" si="14"/>
        <v>660</v>
      </c>
      <c r="W271" s="30">
        <f t="shared" si="15"/>
        <v>69.7</v>
      </c>
      <c r="X271" s="30">
        <v>1200000.0</v>
      </c>
      <c r="Y271" s="30">
        <f t="shared" si="16"/>
        <v>1200000</v>
      </c>
      <c r="Z271" s="30">
        <f t="shared" si="17"/>
        <v>8</v>
      </c>
      <c r="AA271" s="30"/>
      <c r="AB271" s="30"/>
      <c r="AC271" s="30"/>
      <c r="AD271" s="30"/>
      <c r="AE271" s="30"/>
      <c r="AF271" s="30"/>
      <c r="AG271" s="30"/>
      <c r="AH271" s="30"/>
      <c r="AI271" s="30"/>
      <c r="AJ271" s="32"/>
      <c r="AK271" s="32"/>
      <c r="AL271" s="32"/>
    </row>
    <row r="272" ht="14.25" customHeight="1">
      <c r="A272" s="23">
        <v>271.0</v>
      </c>
      <c r="B272" s="24" t="s">
        <v>30</v>
      </c>
      <c r="C272" s="25" t="s">
        <v>282</v>
      </c>
      <c r="D272" s="24">
        <v>-811.0</v>
      </c>
      <c r="E272" s="24">
        <v>100.0</v>
      </c>
      <c r="F272" s="24">
        <v>327.8800000000001</v>
      </c>
      <c r="G272" s="24">
        <v>427.8800000000001</v>
      </c>
      <c r="H272" s="24">
        <v>-1038.88</v>
      </c>
      <c r="I272" s="24">
        <v>-1260.75</v>
      </c>
      <c r="J272" s="26">
        <v>320.0</v>
      </c>
      <c r="K272" s="26">
        <v>209.51</v>
      </c>
      <c r="L272" s="26">
        <v>529.51</v>
      </c>
      <c r="M272" s="26">
        <v>-1150.26</v>
      </c>
      <c r="N272" s="26">
        <v>14.0</v>
      </c>
      <c r="O272" s="36">
        <f t="shared" si="1"/>
        <v>200</v>
      </c>
      <c r="P272" s="36">
        <f t="shared" si="18"/>
        <v>848</v>
      </c>
      <c r="Q272" s="37">
        <f t="shared" si="19"/>
        <v>-2920</v>
      </c>
      <c r="R272" s="38">
        <f t="shared" si="4"/>
        <v>286563</v>
      </c>
      <c r="S272" s="39">
        <f t="shared" si="11"/>
        <v>-46758</v>
      </c>
      <c r="T272" s="30">
        <f t="shared" si="12"/>
        <v>-931</v>
      </c>
      <c r="U272" s="30">
        <f t="shared" si="13"/>
        <v>849</v>
      </c>
      <c r="V272" s="30">
        <f t="shared" si="14"/>
        <v>666</v>
      </c>
      <c r="W272" s="30">
        <f t="shared" si="15"/>
        <v>78.4</v>
      </c>
      <c r="X272" s="30">
        <v>1200000.0</v>
      </c>
      <c r="Y272" s="30">
        <f t="shared" si="16"/>
        <v>1200000</v>
      </c>
      <c r="Z272" s="30">
        <f t="shared" si="17"/>
        <v>7</v>
      </c>
      <c r="AA272" s="30"/>
      <c r="AB272" s="30"/>
      <c r="AC272" s="30"/>
      <c r="AD272" s="30"/>
      <c r="AE272" s="30"/>
      <c r="AF272" s="30"/>
      <c r="AG272" s="30"/>
      <c r="AH272" s="30"/>
      <c r="AI272" s="30"/>
      <c r="AJ272" s="32"/>
      <c r="AK272" s="32"/>
      <c r="AL272" s="32"/>
    </row>
    <row r="273" ht="14.25" customHeight="1">
      <c r="A273" s="23">
        <v>272.0</v>
      </c>
      <c r="B273" s="24" t="s">
        <v>26</v>
      </c>
      <c r="C273" s="25" t="s">
        <v>283</v>
      </c>
      <c r="D273" s="24">
        <v>1920.5</v>
      </c>
      <c r="E273" s="24">
        <v>200.0</v>
      </c>
      <c r="F273" s="24">
        <v>332.31999999999994</v>
      </c>
      <c r="G273" s="24">
        <v>532.3199999999999</v>
      </c>
      <c r="H273" s="40">
        <v>-1038.88</v>
      </c>
      <c r="I273" s="24">
        <v>353.5</v>
      </c>
      <c r="J273" s="26">
        <v>240.0</v>
      </c>
      <c r="K273" s="26">
        <v>120.39999999999998</v>
      </c>
      <c r="L273" s="26">
        <v>360.4</v>
      </c>
      <c r="M273" s="26">
        <v>-1150.26</v>
      </c>
      <c r="N273" s="26">
        <v>14.0</v>
      </c>
      <c r="O273" s="36">
        <f t="shared" si="1"/>
        <v>200</v>
      </c>
      <c r="P273" s="36">
        <f t="shared" si="18"/>
        <v>772</v>
      </c>
      <c r="Q273" s="37">
        <f t="shared" si="19"/>
        <v>1502</v>
      </c>
      <c r="R273" s="38">
        <f t="shared" si="4"/>
        <v>288065</v>
      </c>
      <c r="S273" s="39">
        <f t="shared" si="11"/>
        <v>-45256</v>
      </c>
      <c r="T273" s="30">
        <f t="shared" si="12"/>
        <v>-596</v>
      </c>
      <c r="U273" s="30">
        <f t="shared" si="13"/>
        <v>833</v>
      </c>
      <c r="V273" s="30">
        <f t="shared" si="14"/>
        <v>672</v>
      </c>
      <c r="W273" s="30">
        <f t="shared" si="15"/>
        <v>80.7</v>
      </c>
      <c r="X273" s="30">
        <v>1200000.0</v>
      </c>
      <c r="Y273" s="30">
        <f t="shared" si="16"/>
        <v>1200000</v>
      </c>
      <c r="Z273" s="30">
        <f t="shared" si="17"/>
        <v>7</v>
      </c>
      <c r="AA273" s="30"/>
      <c r="AB273" s="30"/>
      <c r="AC273" s="30"/>
      <c r="AD273" s="30"/>
      <c r="AE273" s="30"/>
      <c r="AF273" s="30"/>
      <c r="AG273" s="30"/>
      <c r="AH273" s="30"/>
      <c r="AI273" s="30"/>
      <c r="AJ273" s="32"/>
      <c r="AK273" s="32"/>
      <c r="AL273" s="32"/>
    </row>
    <row r="274" ht="14.25" customHeight="1">
      <c r="A274" s="23">
        <v>273.0</v>
      </c>
      <c r="B274" s="24" t="s">
        <v>27</v>
      </c>
      <c r="C274" s="25" t="s">
        <v>284</v>
      </c>
      <c r="D274" s="24">
        <v>-6063.0</v>
      </c>
      <c r="E274" s="24">
        <v>80.0</v>
      </c>
      <c r="F274" s="24">
        <v>303.59000000000015</v>
      </c>
      <c r="G274" s="24">
        <v>383.59000000000015</v>
      </c>
      <c r="H274" s="40">
        <v>-1038.88</v>
      </c>
      <c r="I274" s="24">
        <v>0.0</v>
      </c>
      <c r="J274" s="26">
        <v>0.0</v>
      </c>
      <c r="K274" s="26">
        <v>0.0</v>
      </c>
      <c r="L274" s="26">
        <v>0.0</v>
      </c>
      <c r="M274" s="26">
        <v>-1150.26</v>
      </c>
      <c r="N274" s="26">
        <v>14.0</v>
      </c>
      <c r="O274" s="36">
        <f t="shared" si="1"/>
        <v>200</v>
      </c>
      <c r="P274" s="36">
        <f t="shared" si="18"/>
        <v>504</v>
      </c>
      <c r="Q274" s="37">
        <f t="shared" si="19"/>
        <v>-6567</v>
      </c>
      <c r="R274" s="38">
        <f t="shared" si="4"/>
        <v>281498</v>
      </c>
      <c r="S274" s="39">
        <f t="shared" si="11"/>
        <v>-51823</v>
      </c>
      <c r="T274" s="30">
        <f t="shared" si="12"/>
        <v>-689</v>
      </c>
      <c r="U274" s="30">
        <f t="shared" si="13"/>
        <v>768</v>
      </c>
      <c r="V274" s="30">
        <f t="shared" si="14"/>
        <v>673</v>
      </c>
      <c r="W274" s="30">
        <f t="shared" si="15"/>
        <v>87.6</v>
      </c>
      <c r="X274" s="30">
        <v>1200000.0</v>
      </c>
      <c r="Y274" s="30">
        <f t="shared" si="16"/>
        <v>1200000</v>
      </c>
      <c r="Z274" s="30">
        <f t="shared" si="17"/>
        <v>6</v>
      </c>
      <c r="AA274" s="30"/>
      <c r="AB274" s="30"/>
      <c r="AC274" s="30"/>
      <c r="AD274" s="30"/>
      <c r="AE274" s="30"/>
      <c r="AF274" s="30"/>
      <c r="AG274" s="30"/>
      <c r="AH274" s="30"/>
      <c r="AI274" s="30"/>
      <c r="AJ274" s="32"/>
      <c r="AK274" s="32"/>
      <c r="AL274" s="32"/>
    </row>
    <row r="275" ht="14.25" customHeight="1">
      <c r="A275" s="23">
        <v>274.0</v>
      </c>
      <c r="B275" s="24" t="s">
        <v>28</v>
      </c>
      <c r="C275" s="25" t="s">
        <v>285</v>
      </c>
      <c r="D275" s="24">
        <v>138.0</v>
      </c>
      <c r="E275" s="24">
        <v>190.0</v>
      </c>
      <c r="F275" s="24">
        <v>319.37</v>
      </c>
      <c r="G275" s="24">
        <v>509.37</v>
      </c>
      <c r="H275" s="40">
        <v>-1038.88</v>
      </c>
      <c r="I275" s="24">
        <v>5286.5</v>
      </c>
      <c r="J275" s="26">
        <v>640.0</v>
      </c>
      <c r="K275" s="26">
        <v>400.90999999999985</v>
      </c>
      <c r="L275" s="26">
        <v>1040.9099999999999</v>
      </c>
      <c r="M275" s="26">
        <v>-1150.26</v>
      </c>
      <c r="N275" s="26">
        <v>14.0</v>
      </c>
      <c r="O275" s="36">
        <f t="shared" si="1"/>
        <v>200</v>
      </c>
      <c r="P275" s="36">
        <f t="shared" si="18"/>
        <v>1159</v>
      </c>
      <c r="Q275" s="37">
        <f t="shared" si="19"/>
        <v>4266</v>
      </c>
      <c r="R275" s="38">
        <f t="shared" si="4"/>
        <v>285764</v>
      </c>
      <c r="S275" s="39">
        <f t="shared" si="11"/>
        <v>-47557</v>
      </c>
      <c r="T275" s="30">
        <f t="shared" si="12"/>
        <v>-586</v>
      </c>
      <c r="U275" s="30">
        <f t="shared" si="13"/>
        <v>813</v>
      </c>
      <c r="V275" s="30">
        <f t="shared" si="14"/>
        <v>679</v>
      </c>
      <c r="W275" s="30">
        <f t="shared" si="15"/>
        <v>83.5</v>
      </c>
      <c r="X275" s="30">
        <v>1200000.0</v>
      </c>
      <c r="Y275" s="30">
        <f t="shared" si="16"/>
        <v>1200000</v>
      </c>
      <c r="Z275" s="30">
        <f t="shared" si="17"/>
        <v>7</v>
      </c>
      <c r="AA275" s="30"/>
      <c r="AB275" s="30"/>
      <c r="AC275" s="30"/>
      <c r="AD275" s="30"/>
      <c r="AE275" s="30"/>
      <c r="AF275" s="30"/>
      <c r="AG275" s="30"/>
      <c r="AH275" s="30"/>
      <c r="AI275" s="30"/>
      <c r="AJ275" s="32"/>
      <c r="AK275" s="32"/>
      <c r="AL275" s="32"/>
    </row>
    <row r="276" ht="14.25" customHeight="1">
      <c r="A276" s="23">
        <v>275.0</v>
      </c>
      <c r="B276" s="24" t="s">
        <v>29</v>
      </c>
      <c r="C276" s="25" t="s">
        <v>286</v>
      </c>
      <c r="D276" s="24">
        <v>2715.5</v>
      </c>
      <c r="E276" s="24">
        <v>30.0</v>
      </c>
      <c r="F276" s="24">
        <v>170.0</v>
      </c>
      <c r="G276" s="24">
        <v>200.0</v>
      </c>
      <c r="H276" s="40">
        <v>-1038.88</v>
      </c>
      <c r="I276" s="24">
        <v>2056.5</v>
      </c>
      <c r="J276" s="26">
        <v>80.0</v>
      </c>
      <c r="K276" s="26">
        <v>49.42000000000007</v>
      </c>
      <c r="L276" s="26">
        <v>129.42000000000007</v>
      </c>
      <c r="M276" s="26">
        <v>-1150.26</v>
      </c>
      <c r="N276" s="26">
        <v>14.0</v>
      </c>
      <c r="O276" s="36">
        <f t="shared" si="1"/>
        <v>200</v>
      </c>
      <c r="P276" s="36">
        <f t="shared" si="18"/>
        <v>450</v>
      </c>
      <c r="Q276" s="37">
        <f t="shared" si="19"/>
        <v>4322</v>
      </c>
      <c r="R276" s="38">
        <f t="shared" si="4"/>
        <v>290086</v>
      </c>
      <c r="S276" s="39">
        <f t="shared" si="11"/>
        <v>-43235</v>
      </c>
      <c r="T276" s="30">
        <f t="shared" si="12"/>
        <v>-514</v>
      </c>
      <c r="U276" s="30">
        <f t="shared" si="13"/>
        <v>857</v>
      </c>
      <c r="V276" s="30">
        <f t="shared" si="14"/>
        <v>682</v>
      </c>
      <c r="W276" s="30">
        <f t="shared" si="15"/>
        <v>79.6</v>
      </c>
      <c r="X276" s="30">
        <v>1200000.0</v>
      </c>
      <c r="Y276" s="30">
        <f t="shared" si="16"/>
        <v>1200000</v>
      </c>
      <c r="Z276" s="30">
        <f t="shared" si="17"/>
        <v>7</v>
      </c>
      <c r="AA276" s="30"/>
      <c r="AB276" s="30"/>
      <c r="AC276" s="30"/>
      <c r="AD276" s="30"/>
      <c r="AE276" s="30"/>
      <c r="AF276" s="30"/>
      <c r="AG276" s="30"/>
      <c r="AH276" s="30"/>
      <c r="AI276" s="30"/>
      <c r="AJ276" s="32"/>
      <c r="AK276" s="32"/>
      <c r="AL276" s="32"/>
    </row>
    <row r="277" ht="14.25" customHeight="1">
      <c r="A277" s="23">
        <v>276.0</v>
      </c>
      <c r="B277" s="24" t="s">
        <v>30</v>
      </c>
      <c r="C277" s="25" t="s">
        <v>287</v>
      </c>
      <c r="D277" s="24">
        <v>7497.0</v>
      </c>
      <c r="E277" s="24">
        <v>80.0</v>
      </c>
      <c r="F277" s="24">
        <v>147.39000000000033</v>
      </c>
      <c r="G277" s="24">
        <v>227.39000000000033</v>
      </c>
      <c r="H277" s="40">
        <v>-1038.88</v>
      </c>
      <c r="I277" s="24">
        <v>3536.5</v>
      </c>
      <c r="J277" s="26">
        <v>160.0</v>
      </c>
      <c r="K277" s="26">
        <v>107.94000000000005</v>
      </c>
      <c r="L277" s="26">
        <v>267.94000000000005</v>
      </c>
      <c r="M277" s="26">
        <v>-1150.26</v>
      </c>
      <c r="N277" s="26">
        <v>14.0</v>
      </c>
      <c r="O277" s="36">
        <f t="shared" si="1"/>
        <v>200</v>
      </c>
      <c r="P277" s="36">
        <f t="shared" si="18"/>
        <v>507</v>
      </c>
      <c r="Q277" s="37">
        <f t="shared" si="19"/>
        <v>10527</v>
      </c>
      <c r="R277" s="38">
        <f t="shared" si="4"/>
        <v>300613</v>
      </c>
      <c r="S277" s="39">
        <f t="shared" si="11"/>
        <v>-32708</v>
      </c>
      <c r="T277" s="30">
        <f t="shared" si="12"/>
        <v>-140</v>
      </c>
      <c r="U277" s="30">
        <f t="shared" si="13"/>
        <v>892</v>
      </c>
      <c r="V277" s="30">
        <f t="shared" si="14"/>
        <v>680</v>
      </c>
      <c r="W277" s="30">
        <f t="shared" si="15"/>
        <v>76.2</v>
      </c>
      <c r="X277" s="30">
        <v>1200000.0</v>
      </c>
      <c r="Y277" s="30">
        <f t="shared" si="16"/>
        <v>1200000</v>
      </c>
      <c r="Z277" s="30">
        <f t="shared" si="17"/>
        <v>7</v>
      </c>
      <c r="AA277" s="30"/>
      <c r="AB277" s="30"/>
      <c r="AC277" s="30"/>
      <c r="AD277" s="30"/>
      <c r="AE277" s="30"/>
      <c r="AF277" s="30"/>
      <c r="AG277" s="30"/>
      <c r="AH277" s="30"/>
      <c r="AI277" s="30"/>
      <c r="AJ277" s="32"/>
      <c r="AK277" s="32"/>
      <c r="AL277" s="32"/>
    </row>
    <row r="278" ht="14.25" customHeight="1">
      <c r="A278" s="23">
        <v>277.0</v>
      </c>
      <c r="B278" s="24" t="s">
        <v>26</v>
      </c>
      <c r="C278" s="25" t="s">
        <v>288</v>
      </c>
      <c r="D278" s="24">
        <v>-4284.75</v>
      </c>
      <c r="E278" s="24">
        <v>310.0</v>
      </c>
      <c r="F278" s="24">
        <v>669.9899999999998</v>
      </c>
      <c r="G278" s="24">
        <v>979.9899999999998</v>
      </c>
      <c r="H278" s="40">
        <v>-1038.88</v>
      </c>
      <c r="I278" s="24">
        <v>0.0</v>
      </c>
      <c r="J278" s="26">
        <v>0.0</v>
      </c>
      <c r="K278" s="26">
        <v>0.0</v>
      </c>
      <c r="L278" s="26">
        <v>0.0</v>
      </c>
      <c r="M278" s="26">
        <v>-1150.26</v>
      </c>
      <c r="N278" s="26">
        <v>14.0</v>
      </c>
      <c r="O278" s="36">
        <f t="shared" si="1"/>
        <v>200</v>
      </c>
      <c r="P278" s="36">
        <f t="shared" si="18"/>
        <v>870</v>
      </c>
      <c r="Q278" s="37">
        <f t="shared" si="19"/>
        <v>-5155</v>
      </c>
      <c r="R278" s="38">
        <f t="shared" si="4"/>
        <v>295458</v>
      </c>
      <c r="S278" s="39">
        <f t="shared" si="11"/>
        <v>-37863</v>
      </c>
      <c r="T278" s="30">
        <f t="shared" si="12"/>
        <v>-157</v>
      </c>
      <c r="U278" s="30">
        <f t="shared" si="13"/>
        <v>875</v>
      </c>
      <c r="V278" s="30">
        <f t="shared" si="14"/>
        <v>685</v>
      </c>
      <c r="W278" s="30">
        <f t="shared" si="15"/>
        <v>78.3</v>
      </c>
      <c r="X278" s="30">
        <v>1200000.0</v>
      </c>
      <c r="Y278" s="30">
        <f t="shared" si="16"/>
        <v>1200000</v>
      </c>
      <c r="Z278" s="30">
        <f t="shared" si="17"/>
        <v>7</v>
      </c>
      <c r="AA278" s="30"/>
      <c r="AB278" s="30"/>
      <c r="AC278" s="30"/>
      <c r="AD278" s="30"/>
      <c r="AE278" s="30"/>
      <c r="AF278" s="30"/>
      <c r="AG278" s="30"/>
      <c r="AH278" s="30"/>
      <c r="AI278" s="30"/>
      <c r="AJ278" s="32"/>
      <c r="AK278" s="32"/>
      <c r="AL278" s="32"/>
    </row>
    <row r="279" ht="14.25" customHeight="1">
      <c r="A279" s="23">
        <v>278.0</v>
      </c>
      <c r="B279" s="24" t="s">
        <v>27</v>
      </c>
      <c r="C279" s="25" t="s">
        <v>289</v>
      </c>
      <c r="D279" s="24">
        <v>-3984.0</v>
      </c>
      <c r="E279" s="24">
        <v>50.0</v>
      </c>
      <c r="F279" s="24">
        <v>135.01999999999998</v>
      </c>
      <c r="G279" s="24">
        <v>185.01999999999998</v>
      </c>
      <c r="H279" s="40">
        <v>-1038.88</v>
      </c>
      <c r="I279" s="24">
        <v>-6888.69</v>
      </c>
      <c r="J279" s="26">
        <v>520.0</v>
      </c>
      <c r="K279" s="26">
        <v>793.71</v>
      </c>
      <c r="L279" s="26">
        <v>1313.71</v>
      </c>
      <c r="M279" s="26">
        <v>-1150.26</v>
      </c>
      <c r="N279" s="26">
        <v>14.0</v>
      </c>
      <c r="O279" s="36">
        <f t="shared" si="1"/>
        <v>200</v>
      </c>
      <c r="P279" s="36">
        <f t="shared" si="18"/>
        <v>855</v>
      </c>
      <c r="Q279" s="37">
        <f t="shared" si="19"/>
        <v>-11728</v>
      </c>
      <c r="R279" s="38">
        <f t="shared" si="4"/>
        <v>283730</v>
      </c>
      <c r="S279" s="39">
        <f t="shared" si="11"/>
        <v>-49591</v>
      </c>
      <c r="T279" s="30">
        <f t="shared" si="12"/>
        <v>-517</v>
      </c>
      <c r="U279" s="30">
        <f t="shared" si="13"/>
        <v>766</v>
      </c>
      <c r="V279" s="30">
        <f t="shared" si="14"/>
        <v>691</v>
      </c>
      <c r="W279" s="30">
        <f t="shared" si="15"/>
        <v>90.2</v>
      </c>
      <c r="X279" s="30">
        <v>1200000.0</v>
      </c>
      <c r="Y279" s="30">
        <f t="shared" si="16"/>
        <v>1200000</v>
      </c>
      <c r="Z279" s="30">
        <f t="shared" si="17"/>
        <v>6</v>
      </c>
      <c r="AA279" s="30"/>
      <c r="AB279" s="30"/>
      <c r="AC279" s="30"/>
      <c r="AD279" s="30"/>
      <c r="AE279" s="30"/>
      <c r="AF279" s="30"/>
      <c r="AG279" s="30"/>
      <c r="AH279" s="30"/>
      <c r="AI279" s="30"/>
      <c r="AJ279" s="32"/>
      <c r="AK279" s="32"/>
      <c r="AL279" s="32"/>
    </row>
    <row r="280" ht="14.25" customHeight="1">
      <c r="A280" s="23">
        <v>279.0</v>
      </c>
      <c r="B280" s="24" t="s">
        <v>28</v>
      </c>
      <c r="C280" s="25" t="s">
        <v>290</v>
      </c>
      <c r="D280" s="24">
        <v>-1672.75</v>
      </c>
      <c r="E280" s="24">
        <v>180.0</v>
      </c>
      <c r="F280" s="24">
        <v>240.3499999999999</v>
      </c>
      <c r="G280" s="24">
        <v>420.3499999999999</v>
      </c>
      <c r="H280" s="40">
        <v>-1038.88</v>
      </c>
      <c r="I280" s="24">
        <v>4148.0</v>
      </c>
      <c r="J280" s="26">
        <v>200.0</v>
      </c>
      <c r="K280" s="26">
        <v>70.43000000000029</v>
      </c>
      <c r="L280" s="26">
        <v>270.4300000000003</v>
      </c>
      <c r="M280" s="26">
        <v>-1150.26</v>
      </c>
      <c r="N280" s="26">
        <v>14.0</v>
      </c>
      <c r="O280" s="36">
        <f t="shared" si="1"/>
        <v>200</v>
      </c>
      <c r="P280" s="36">
        <f t="shared" si="18"/>
        <v>640</v>
      </c>
      <c r="Q280" s="37">
        <f t="shared" si="19"/>
        <v>1835</v>
      </c>
      <c r="R280" s="38">
        <f t="shared" si="4"/>
        <v>285565</v>
      </c>
      <c r="S280" s="39">
        <f t="shared" si="11"/>
        <v>-47756</v>
      </c>
      <c r="T280" s="30">
        <f t="shared" si="12"/>
        <v>-581</v>
      </c>
      <c r="U280" s="30">
        <f t="shared" si="13"/>
        <v>703</v>
      </c>
      <c r="V280" s="30">
        <f t="shared" si="14"/>
        <v>694</v>
      </c>
      <c r="W280" s="30">
        <f t="shared" si="15"/>
        <v>98.7</v>
      </c>
      <c r="X280" s="30">
        <v>1200000.0</v>
      </c>
      <c r="Y280" s="30">
        <f t="shared" si="16"/>
        <v>1200000</v>
      </c>
      <c r="Z280" s="30">
        <f t="shared" si="17"/>
        <v>6</v>
      </c>
      <c r="AA280" s="30"/>
      <c r="AB280" s="30"/>
      <c r="AC280" s="30"/>
      <c r="AD280" s="30"/>
      <c r="AE280" s="30"/>
      <c r="AF280" s="30"/>
      <c r="AG280" s="30"/>
      <c r="AH280" s="30"/>
      <c r="AI280" s="30"/>
      <c r="AJ280" s="32"/>
      <c r="AK280" s="32"/>
      <c r="AL280" s="32"/>
    </row>
    <row r="281" ht="14.25" customHeight="1">
      <c r="A281" s="23">
        <v>280.0</v>
      </c>
      <c r="B281" s="24" t="s">
        <v>29</v>
      </c>
      <c r="C281" s="25" t="s">
        <v>291</v>
      </c>
      <c r="D281" s="24">
        <v>4139.5</v>
      </c>
      <c r="E281" s="24">
        <v>20.0</v>
      </c>
      <c r="F281" s="24">
        <v>82.23000000000002</v>
      </c>
      <c r="G281" s="24">
        <v>102.23000000000002</v>
      </c>
      <c r="H281" s="40">
        <v>-1038.88</v>
      </c>
      <c r="I281" s="24">
        <v>1432.5</v>
      </c>
      <c r="J281" s="26">
        <v>80.0</v>
      </c>
      <c r="K281" s="26">
        <v>53.0</v>
      </c>
      <c r="L281" s="26">
        <v>133.0</v>
      </c>
      <c r="M281" s="26">
        <v>-1150.26</v>
      </c>
      <c r="N281" s="26">
        <v>14.0</v>
      </c>
      <c r="O281" s="36">
        <f t="shared" si="1"/>
        <v>200</v>
      </c>
      <c r="P281" s="36">
        <f t="shared" si="18"/>
        <v>362</v>
      </c>
      <c r="Q281" s="37">
        <f t="shared" si="19"/>
        <v>5210</v>
      </c>
      <c r="R281" s="38">
        <f t="shared" si="4"/>
        <v>290775</v>
      </c>
      <c r="S281" s="39">
        <f t="shared" si="11"/>
        <v>-42546</v>
      </c>
      <c r="T281" s="30">
        <f t="shared" si="12"/>
        <v>-616</v>
      </c>
      <c r="U281" s="30">
        <f t="shared" si="13"/>
        <v>722</v>
      </c>
      <c r="V281" s="30">
        <f t="shared" si="14"/>
        <v>697</v>
      </c>
      <c r="W281" s="30">
        <f t="shared" si="15"/>
        <v>96.5</v>
      </c>
      <c r="X281" s="30">
        <v>1200000.0</v>
      </c>
      <c r="Y281" s="30">
        <f t="shared" si="16"/>
        <v>1200000</v>
      </c>
      <c r="Z281" s="30">
        <f t="shared" si="17"/>
        <v>6</v>
      </c>
      <c r="AA281" s="30"/>
      <c r="AB281" s="30"/>
      <c r="AC281" s="30"/>
      <c r="AD281" s="30"/>
      <c r="AE281" s="30"/>
      <c r="AF281" s="30"/>
      <c r="AG281" s="30"/>
      <c r="AH281" s="30"/>
      <c r="AI281" s="30"/>
      <c r="AJ281" s="32"/>
      <c r="AK281" s="32"/>
      <c r="AL281" s="32"/>
    </row>
    <row r="282" ht="14.25" customHeight="1">
      <c r="A282" s="23">
        <v>281.0</v>
      </c>
      <c r="B282" s="24" t="s">
        <v>30</v>
      </c>
      <c r="C282" s="25" t="s">
        <v>292</v>
      </c>
      <c r="D282" s="24">
        <v>1857.0</v>
      </c>
      <c r="E282" s="24">
        <v>40.0</v>
      </c>
      <c r="F282" s="24">
        <v>159.53999999999996</v>
      </c>
      <c r="G282" s="24">
        <v>199.53999999999996</v>
      </c>
      <c r="H282" s="40">
        <v>-1038.88</v>
      </c>
      <c r="I282" s="24">
        <v>0.0</v>
      </c>
      <c r="J282" s="26">
        <v>0.0</v>
      </c>
      <c r="K282" s="26">
        <v>0.0</v>
      </c>
      <c r="L282" s="26">
        <v>0.0</v>
      </c>
      <c r="M282" s="26">
        <v>-1150.26</v>
      </c>
      <c r="N282" s="26">
        <v>14.0</v>
      </c>
      <c r="O282" s="36">
        <f t="shared" si="1"/>
        <v>200</v>
      </c>
      <c r="P282" s="36">
        <f t="shared" si="18"/>
        <v>360</v>
      </c>
      <c r="Q282" s="37">
        <f t="shared" si="19"/>
        <v>1497</v>
      </c>
      <c r="R282" s="38">
        <f t="shared" si="4"/>
        <v>292272</v>
      </c>
      <c r="S282" s="39">
        <f t="shared" si="11"/>
        <v>-41049</v>
      </c>
      <c r="T282" s="30">
        <f t="shared" si="12"/>
        <v>-676</v>
      </c>
      <c r="U282" s="30">
        <f t="shared" si="13"/>
        <v>686</v>
      </c>
      <c r="V282" s="30">
        <f t="shared" si="14"/>
        <v>698</v>
      </c>
      <c r="W282" s="30">
        <f t="shared" si="15"/>
        <v>101.7</v>
      </c>
      <c r="X282" s="30">
        <v>1200000.0</v>
      </c>
      <c r="Y282" s="30">
        <f t="shared" si="16"/>
        <v>1200000</v>
      </c>
      <c r="Z282" s="30">
        <f t="shared" si="17"/>
        <v>6</v>
      </c>
      <c r="AA282" s="30"/>
      <c r="AB282" s="30"/>
      <c r="AC282" s="30"/>
      <c r="AD282" s="30"/>
      <c r="AE282" s="30"/>
      <c r="AF282" s="30"/>
      <c r="AG282" s="30"/>
      <c r="AH282" s="30"/>
      <c r="AI282" s="30"/>
      <c r="AJ282" s="32"/>
      <c r="AK282" s="32"/>
      <c r="AL282" s="32"/>
    </row>
    <row r="283" ht="14.25" customHeight="1">
      <c r="A283" s="23">
        <v>282.0</v>
      </c>
      <c r="B283" s="24" t="s">
        <v>26</v>
      </c>
      <c r="C283" s="25" t="s">
        <v>293</v>
      </c>
      <c r="D283" s="24">
        <v>8299.5</v>
      </c>
      <c r="E283" s="24">
        <v>20.0</v>
      </c>
      <c r="F283" s="24">
        <v>22.0</v>
      </c>
      <c r="G283" s="24">
        <v>42.0</v>
      </c>
      <c r="H283" s="40">
        <v>-1038.88</v>
      </c>
      <c r="I283" s="24">
        <v>1735.25</v>
      </c>
      <c r="J283" s="26">
        <v>200.0</v>
      </c>
      <c r="K283" s="26">
        <v>69.24000000000001</v>
      </c>
      <c r="L283" s="26">
        <v>269.24</v>
      </c>
      <c r="M283" s="26">
        <v>-1150.26</v>
      </c>
      <c r="N283" s="26">
        <v>14.0</v>
      </c>
      <c r="O283" s="36">
        <f t="shared" si="1"/>
        <v>200</v>
      </c>
      <c r="P283" s="36">
        <f t="shared" si="18"/>
        <v>422</v>
      </c>
      <c r="Q283" s="37">
        <f t="shared" si="19"/>
        <v>9613</v>
      </c>
      <c r="R283" s="38">
        <f t="shared" si="4"/>
        <v>301885</v>
      </c>
      <c r="S283" s="39">
        <f t="shared" si="11"/>
        <v>-31436</v>
      </c>
      <c r="T283" s="30">
        <f t="shared" si="12"/>
        <v>-545</v>
      </c>
      <c r="U283" s="30">
        <f t="shared" si="13"/>
        <v>760</v>
      </c>
      <c r="V283" s="30">
        <f t="shared" si="14"/>
        <v>701</v>
      </c>
      <c r="W283" s="30">
        <f t="shared" si="15"/>
        <v>92.2</v>
      </c>
      <c r="X283" s="30">
        <v>1200000.0</v>
      </c>
      <c r="Y283" s="30">
        <f t="shared" si="16"/>
        <v>1200000</v>
      </c>
      <c r="Z283" s="30">
        <f t="shared" si="17"/>
        <v>6</v>
      </c>
      <c r="AA283" s="30"/>
      <c r="AB283" s="30"/>
      <c r="AC283" s="30"/>
      <c r="AD283" s="30"/>
      <c r="AE283" s="30"/>
      <c r="AF283" s="30"/>
      <c r="AG283" s="30"/>
      <c r="AH283" s="30"/>
      <c r="AI283" s="30"/>
      <c r="AJ283" s="32"/>
      <c r="AK283" s="32"/>
      <c r="AL283" s="32"/>
    </row>
    <row r="284" ht="14.25" customHeight="1">
      <c r="A284" s="23">
        <v>283.0</v>
      </c>
      <c r="B284" s="24" t="s">
        <v>27</v>
      </c>
      <c r="C284" s="25" t="s">
        <v>294</v>
      </c>
      <c r="D284" s="24">
        <v>3649.0</v>
      </c>
      <c r="E284" s="24">
        <v>40.0</v>
      </c>
      <c r="F284" s="24">
        <v>94.7199999999998</v>
      </c>
      <c r="G284" s="24">
        <v>134.7199999999998</v>
      </c>
      <c r="H284" s="40">
        <v>-1038.88</v>
      </c>
      <c r="I284" s="24">
        <v>0.0</v>
      </c>
      <c r="J284" s="26">
        <v>0.0</v>
      </c>
      <c r="K284" s="26">
        <v>0.0</v>
      </c>
      <c r="L284" s="26">
        <v>0.0</v>
      </c>
      <c r="M284" s="26">
        <v>-1150.26</v>
      </c>
      <c r="N284" s="26">
        <v>14.0</v>
      </c>
      <c r="O284" s="36">
        <f t="shared" si="1"/>
        <v>200</v>
      </c>
      <c r="P284" s="36">
        <f t="shared" si="18"/>
        <v>295</v>
      </c>
      <c r="Q284" s="37">
        <f t="shared" si="19"/>
        <v>3354</v>
      </c>
      <c r="R284" s="38">
        <f t="shared" si="4"/>
        <v>305239</v>
      </c>
      <c r="S284" s="39">
        <f t="shared" si="11"/>
        <v>-28082</v>
      </c>
      <c r="T284" s="30">
        <f t="shared" si="12"/>
        <v>-484</v>
      </c>
      <c r="U284" s="30">
        <f t="shared" si="13"/>
        <v>706</v>
      </c>
      <c r="V284" s="30">
        <f t="shared" si="14"/>
        <v>702</v>
      </c>
      <c r="W284" s="30">
        <f t="shared" si="15"/>
        <v>99.4</v>
      </c>
      <c r="X284" s="30">
        <v>1200000.0</v>
      </c>
      <c r="Y284" s="30">
        <f t="shared" si="16"/>
        <v>1200000</v>
      </c>
      <c r="Z284" s="30">
        <f t="shared" si="17"/>
        <v>6</v>
      </c>
      <c r="AA284" s="30"/>
      <c r="AB284" s="30"/>
      <c r="AC284" s="30"/>
      <c r="AD284" s="30"/>
      <c r="AE284" s="30"/>
      <c r="AF284" s="30"/>
      <c r="AG284" s="30"/>
      <c r="AH284" s="30"/>
      <c r="AI284" s="30"/>
      <c r="AJ284" s="32"/>
      <c r="AK284" s="32"/>
      <c r="AL284" s="32"/>
    </row>
    <row r="285" ht="14.25" customHeight="1">
      <c r="A285" s="23">
        <v>284.0</v>
      </c>
      <c r="B285" s="24" t="s">
        <v>28</v>
      </c>
      <c r="C285" s="25" t="s">
        <v>295</v>
      </c>
      <c r="D285" s="24">
        <v>3927.75</v>
      </c>
      <c r="E285" s="24">
        <v>160.0</v>
      </c>
      <c r="F285" s="24">
        <v>298.30999999999995</v>
      </c>
      <c r="G285" s="24">
        <v>458.30999999999995</v>
      </c>
      <c r="H285" s="40">
        <v>-1038.88</v>
      </c>
      <c r="I285" s="24">
        <v>-313.0</v>
      </c>
      <c r="J285" s="26">
        <v>360.0</v>
      </c>
      <c r="K285" s="26">
        <v>174.76999999999998</v>
      </c>
      <c r="L285" s="26">
        <v>534.77</v>
      </c>
      <c r="M285" s="26">
        <v>-1150.26</v>
      </c>
      <c r="N285" s="26">
        <v>14.0</v>
      </c>
      <c r="O285" s="36">
        <f t="shared" si="1"/>
        <v>200</v>
      </c>
      <c r="P285" s="36">
        <f t="shared" si="18"/>
        <v>858</v>
      </c>
      <c r="Q285" s="37">
        <f t="shared" si="19"/>
        <v>2757</v>
      </c>
      <c r="R285" s="38">
        <f t="shared" si="4"/>
        <v>307996</v>
      </c>
      <c r="S285" s="39">
        <f t="shared" si="11"/>
        <v>-25325</v>
      </c>
      <c r="T285" s="30">
        <f t="shared" si="12"/>
        <v>-507</v>
      </c>
      <c r="U285" s="30">
        <f t="shared" si="13"/>
        <v>713</v>
      </c>
      <c r="V285" s="30">
        <f t="shared" si="14"/>
        <v>708</v>
      </c>
      <c r="W285" s="30">
        <f t="shared" si="15"/>
        <v>99.3</v>
      </c>
      <c r="X285" s="30">
        <v>1200000.0</v>
      </c>
      <c r="Y285" s="30">
        <f t="shared" si="16"/>
        <v>1200000</v>
      </c>
      <c r="Z285" s="30">
        <f t="shared" si="17"/>
        <v>6</v>
      </c>
      <c r="AA285" s="30"/>
      <c r="AB285" s="30"/>
      <c r="AC285" s="30"/>
      <c r="AD285" s="30"/>
      <c r="AE285" s="30"/>
      <c r="AF285" s="30"/>
      <c r="AG285" s="30"/>
      <c r="AH285" s="30"/>
      <c r="AI285" s="30"/>
      <c r="AJ285" s="32"/>
      <c r="AK285" s="32"/>
      <c r="AL285" s="32"/>
    </row>
    <row r="286" ht="14.25" customHeight="1">
      <c r="A286" s="23">
        <v>285.0</v>
      </c>
      <c r="B286" s="24" t="s">
        <v>29</v>
      </c>
      <c r="C286" s="25" t="s">
        <v>296</v>
      </c>
      <c r="D286" s="24">
        <v>3484.25</v>
      </c>
      <c r="E286" s="24">
        <v>40.0</v>
      </c>
      <c r="F286" s="24">
        <v>102.0</v>
      </c>
      <c r="G286" s="24">
        <v>142.0</v>
      </c>
      <c r="H286" s="40">
        <v>-1038.88</v>
      </c>
      <c r="I286" s="24">
        <v>0.0</v>
      </c>
      <c r="J286" s="26">
        <v>0.0</v>
      </c>
      <c r="K286" s="26">
        <v>0.0</v>
      </c>
      <c r="L286" s="26">
        <v>0.0</v>
      </c>
      <c r="M286" s="26">
        <v>-1150.26</v>
      </c>
      <c r="N286" s="26">
        <v>14.0</v>
      </c>
      <c r="O286" s="36">
        <f t="shared" si="1"/>
        <v>200</v>
      </c>
      <c r="P286" s="36">
        <f t="shared" si="18"/>
        <v>302</v>
      </c>
      <c r="Q286" s="37">
        <f t="shared" si="19"/>
        <v>3182</v>
      </c>
      <c r="R286" s="38">
        <f t="shared" si="4"/>
        <v>311178</v>
      </c>
      <c r="S286" s="39">
        <f t="shared" si="11"/>
        <v>-22143</v>
      </c>
      <c r="T286" s="30">
        <f t="shared" si="12"/>
        <v>-309</v>
      </c>
      <c r="U286" s="30">
        <f t="shared" si="13"/>
        <v>696</v>
      </c>
      <c r="V286" s="30">
        <f t="shared" si="14"/>
        <v>710</v>
      </c>
      <c r="W286" s="30">
        <f t="shared" si="15"/>
        <v>102</v>
      </c>
      <c r="X286" s="30">
        <v>1200000.0</v>
      </c>
      <c r="Y286" s="30">
        <f t="shared" si="16"/>
        <v>1200000</v>
      </c>
      <c r="Z286" s="30">
        <f t="shared" si="17"/>
        <v>6</v>
      </c>
      <c r="AA286" s="30"/>
      <c r="AB286" s="30"/>
      <c r="AC286" s="30"/>
      <c r="AD286" s="30"/>
      <c r="AE286" s="30"/>
      <c r="AF286" s="30"/>
      <c r="AG286" s="30"/>
      <c r="AH286" s="30"/>
      <c r="AI286" s="30"/>
      <c r="AJ286" s="32"/>
      <c r="AK286" s="32"/>
      <c r="AL286" s="32"/>
    </row>
    <row r="287" ht="14.25" customHeight="1">
      <c r="A287" s="23">
        <v>286.0</v>
      </c>
      <c r="B287" s="24" t="s">
        <v>30</v>
      </c>
      <c r="C287" s="25" t="s">
        <v>297</v>
      </c>
      <c r="D287" s="24">
        <v>4215.0</v>
      </c>
      <c r="E287" s="24">
        <v>50.0</v>
      </c>
      <c r="F287" s="24">
        <v>83.22000000000025</v>
      </c>
      <c r="G287" s="24">
        <v>133.22000000000025</v>
      </c>
      <c r="H287" s="40">
        <v>-1038.88</v>
      </c>
      <c r="I287" s="24">
        <v>0.0</v>
      </c>
      <c r="J287" s="26">
        <v>0.0</v>
      </c>
      <c r="K287" s="26">
        <v>0.0</v>
      </c>
      <c r="L287" s="26">
        <v>0.0</v>
      </c>
      <c r="M287" s="26">
        <v>-1150.26</v>
      </c>
      <c r="N287" s="26">
        <v>14.0</v>
      </c>
      <c r="O287" s="36">
        <f t="shared" si="1"/>
        <v>200</v>
      </c>
      <c r="P287" s="36">
        <f t="shared" si="18"/>
        <v>283</v>
      </c>
      <c r="Q287" s="37">
        <f t="shared" si="19"/>
        <v>3932</v>
      </c>
      <c r="R287" s="38">
        <f t="shared" si="4"/>
        <v>315110</v>
      </c>
      <c r="S287" s="39">
        <f t="shared" si="11"/>
        <v>-18211</v>
      </c>
      <c r="T287" s="30">
        <f t="shared" si="12"/>
        <v>610</v>
      </c>
      <c r="U287" s="30">
        <f t="shared" si="13"/>
        <v>665</v>
      </c>
      <c r="V287" s="30">
        <f t="shared" si="14"/>
        <v>710</v>
      </c>
      <c r="W287" s="30">
        <f t="shared" si="15"/>
        <v>106.8</v>
      </c>
      <c r="X287" s="30">
        <v>1200000.0</v>
      </c>
      <c r="Y287" s="30">
        <f t="shared" si="16"/>
        <v>1200000</v>
      </c>
      <c r="Z287" s="30">
        <f t="shared" si="17"/>
        <v>6</v>
      </c>
      <c r="AA287" s="30"/>
      <c r="AB287" s="30"/>
      <c r="AC287" s="30"/>
      <c r="AD287" s="30"/>
      <c r="AE287" s="30"/>
      <c r="AF287" s="30"/>
      <c r="AG287" s="30"/>
      <c r="AH287" s="30"/>
      <c r="AI287" s="30"/>
      <c r="AJ287" s="32"/>
      <c r="AK287" s="32"/>
      <c r="AL287" s="32"/>
    </row>
    <row r="288" ht="14.25" customHeight="1">
      <c r="A288" s="23">
        <v>287.0</v>
      </c>
      <c r="B288" s="24" t="s">
        <v>26</v>
      </c>
      <c r="C288" s="25" t="s">
        <v>298</v>
      </c>
      <c r="D288" s="24">
        <v>1989.0</v>
      </c>
      <c r="E288" s="24">
        <v>270.0</v>
      </c>
      <c r="F288" s="24">
        <v>272.1600000000001</v>
      </c>
      <c r="G288" s="24">
        <v>542.1600000000001</v>
      </c>
      <c r="H288" s="40">
        <v>-1038.88</v>
      </c>
      <c r="I288" s="24">
        <v>0.0</v>
      </c>
      <c r="J288" s="26">
        <v>0.0</v>
      </c>
      <c r="K288" s="26">
        <v>0.0</v>
      </c>
      <c r="L288" s="26">
        <v>0.0</v>
      </c>
      <c r="M288" s="26">
        <v>-1150.26</v>
      </c>
      <c r="N288" s="26">
        <v>14.0</v>
      </c>
      <c r="O288" s="36">
        <f t="shared" si="1"/>
        <v>200</v>
      </c>
      <c r="P288" s="36">
        <f t="shared" si="18"/>
        <v>472</v>
      </c>
      <c r="Q288" s="37">
        <f t="shared" si="19"/>
        <v>1517</v>
      </c>
      <c r="R288" s="38">
        <f t="shared" si="4"/>
        <v>316627</v>
      </c>
      <c r="S288" s="39">
        <f t="shared" si="11"/>
        <v>-16694</v>
      </c>
      <c r="T288" s="30">
        <f t="shared" si="12"/>
        <v>470</v>
      </c>
      <c r="U288" s="30">
        <f t="shared" si="13"/>
        <v>628</v>
      </c>
      <c r="V288" s="30">
        <f t="shared" si="14"/>
        <v>711</v>
      </c>
      <c r="W288" s="30">
        <f t="shared" si="15"/>
        <v>113.2</v>
      </c>
      <c r="X288" s="30">
        <v>1200000.0</v>
      </c>
      <c r="Y288" s="30">
        <f t="shared" si="16"/>
        <v>1200000</v>
      </c>
      <c r="Z288" s="30">
        <f t="shared" si="17"/>
        <v>5</v>
      </c>
      <c r="AA288" s="30"/>
      <c r="AB288" s="30"/>
      <c r="AC288" s="30"/>
      <c r="AD288" s="30"/>
      <c r="AE288" s="30"/>
      <c r="AF288" s="30"/>
      <c r="AG288" s="30"/>
      <c r="AH288" s="30"/>
      <c r="AI288" s="30"/>
      <c r="AJ288" s="32"/>
      <c r="AK288" s="32"/>
      <c r="AL288" s="32"/>
    </row>
    <row r="289" ht="14.25" customHeight="1">
      <c r="A289" s="41"/>
      <c r="B289" s="40"/>
      <c r="C289" s="35"/>
      <c r="D289" s="40"/>
      <c r="E289" s="40"/>
      <c r="F289" s="40"/>
      <c r="G289" s="40"/>
      <c r="H289" s="40"/>
      <c r="I289" s="40"/>
      <c r="J289" s="26"/>
      <c r="K289" s="26"/>
      <c r="L289" s="26"/>
      <c r="M289" s="26"/>
      <c r="N289" s="26"/>
      <c r="O289" s="36"/>
      <c r="P289" s="36"/>
      <c r="Q289" s="37"/>
      <c r="R289" s="42"/>
      <c r="S289" s="43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2"/>
      <c r="AK289" s="32"/>
      <c r="AL289" s="32"/>
    </row>
    <row r="290" ht="14.25" customHeight="1">
      <c r="A290" s="44" t="s">
        <v>299</v>
      </c>
      <c r="B290" s="44">
        <v>0.0</v>
      </c>
      <c r="C290" s="45" t="s">
        <v>300</v>
      </c>
      <c r="D290" s="45">
        <f>SUM(D2:OFFSET(D290, -2,0))</f>
        <v>25602.75</v>
      </c>
      <c r="E290" s="45"/>
      <c r="F290" s="45">
        <f>SUM(F2:OFFSET(F290, -2,0))</f>
        <v>8208.71</v>
      </c>
      <c r="G290" s="45"/>
      <c r="H290" s="45"/>
      <c r="I290" s="45">
        <f t="shared" ref="I290:J290" si="20">SUM(I2:OFFSET(I290, -2,0))</f>
        <v>482060.81</v>
      </c>
      <c r="J290" s="45">
        <f t="shared" si="20"/>
        <v>141725.47</v>
      </c>
      <c r="K290" s="45"/>
      <c r="L290" s="45"/>
      <c r="M290" s="45"/>
      <c r="N290" s="45"/>
      <c r="O290" s="45">
        <f t="shared" ref="O290:P290" si="21">SUM(O2:OFFSET(O290, -2,0))</f>
        <v>41723</v>
      </c>
      <c r="P290" s="45">
        <f t="shared" si="21"/>
        <v>191655</v>
      </c>
      <c r="Q290" s="45">
        <f>SUM(Q3:Q289)</f>
        <v>316627</v>
      </c>
      <c r="R290" s="46"/>
      <c r="S290" s="46"/>
      <c r="T290" s="47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 ht="14.25" customHeight="1">
      <c r="A291" s="44" t="s">
        <v>301</v>
      </c>
      <c r="B291" s="44">
        <v>0.0</v>
      </c>
      <c r="C291" s="48" t="s">
        <v>302</v>
      </c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4"/>
      <c r="Q291" s="49"/>
      <c r="R291" s="48"/>
      <c r="S291" s="48"/>
      <c r="T291" s="47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 ht="14.25" customHeight="1">
      <c r="A292" s="44" t="s">
        <v>303</v>
      </c>
      <c r="B292" s="48"/>
      <c r="C292" s="48" t="s">
        <v>304</v>
      </c>
      <c r="D292" s="50"/>
      <c r="E292" s="50"/>
      <c r="F292" s="50"/>
      <c r="G292" s="50"/>
      <c r="H292" s="50"/>
      <c r="I292" s="50">
        <f t="shared" ref="I292:J292" si="22">AVERAGE(I2:OFFSET(I292, -4,0))</f>
        <v>1703.395088</v>
      </c>
      <c r="J292" s="50">
        <f t="shared" si="22"/>
        <v>495.5436014</v>
      </c>
      <c r="K292" s="50"/>
      <c r="L292" s="50"/>
      <c r="M292" s="50"/>
      <c r="N292" s="50">
        <f t="shared" ref="N292:Q292" si="23">AVERAGE(N2:OFFSET(N292, -4,0))</f>
        <v>9.667832168</v>
      </c>
      <c r="O292" s="50">
        <f t="shared" si="23"/>
        <v>145.8846154</v>
      </c>
      <c r="P292" s="50">
        <f t="shared" si="23"/>
        <v>670.1223776</v>
      </c>
      <c r="Q292" s="50">
        <f t="shared" si="23"/>
        <v>1118.823322</v>
      </c>
      <c r="R292" s="48"/>
      <c r="S292" s="48"/>
      <c r="T292" s="47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 ht="30.0" customHeight="1">
      <c r="A293" s="51" t="s">
        <v>305</v>
      </c>
      <c r="B293" s="51">
        <v>173722.0</v>
      </c>
      <c r="C293" s="52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2"/>
      <c r="R293" s="52"/>
      <c r="S293" s="52"/>
      <c r="T293" s="47"/>
      <c r="U293" s="16"/>
      <c r="V293" s="47"/>
      <c r="W293" s="47"/>
      <c r="X293" s="47"/>
      <c r="Y293" s="47"/>
      <c r="Z293" s="47"/>
      <c r="AA293" s="47"/>
      <c r="AB293" s="16"/>
      <c r="AC293" s="16"/>
      <c r="AD293" s="16"/>
      <c r="AE293" s="16"/>
      <c r="AF293" s="16"/>
      <c r="AG293" s="16"/>
      <c r="AH293" s="16"/>
      <c r="AI293" s="16"/>
    </row>
    <row r="294" ht="32.25" customHeight="1">
      <c r="A294" s="51" t="s">
        <v>306</v>
      </c>
      <c r="B294" s="51">
        <v>132620.0</v>
      </c>
      <c r="C294" s="52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2"/>
      <c r="R294" s="52"/>
      <c r="S294" s="52"/>
      <c r="T294" s="47"/>
      <c r="U294" s="16"/>
      <c r="V294" s="47"/>
      <c r="W294" s="47"/>
      <c r="X294" s="47"/>
      <c r="Y294" s="47"/>
      <c r="Z294" s="47"/>
      <c r="AA294" s="47"/>
      <c r="AB294" s="16"/>
      <c r="AC294" s="16"/>
      <c r="AD294" s="16"/>
      <c r="AE294" s="16"/>
      <c r="AF294" s="16"/>
      <c r="AG294" s="16"/>
      <c r="AH294" s="16"/>
      <c r="AI294" s="16"/>
    </row>
    <row r="295" ht="44.25" customHeight="1">
      <c r="A295" s="54" t="s">
        <v>307</v>
      </c>
      <c r="B295" s="54">
        <f>B293+B294</f>
        <v>306342</v>
      </c>
      <c r="C295" s="16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2"/>
      <c r="R295" s="52"/>
      <c r="S295" s="52"/>
      <c r="T295" s="47"/>
      <c r="U295" s="16"/>
      <c r="V295" s="47"/>
      <c r="W295" s="47"/>
      <c r="X295" s="47"/>
      <c r="Y295" s="47"/>
      <c r="Z295" s="47"/>
      <c r="AA295" s="47"/>
      <c r="AB295" s="16"/>
      <c r="AC295" s="16"/>
      <c r="AD295" s="16"/>
      <c r="AE295" s="16"/>
      <c r="AF295" s="16"/>
      <c r="AG295" s="16"/>
      <c r="AH295" s="16"/>
      <c r="AI295" s="16"/>
    </row>
    <row r="296" ht="33.0" customHeight="1">
      <c r="A296" s="54" t="s">
        <v>308</v>
      </c>
      <c r="B296" s="54">
        <v>130000.0</v>
      </c>
      <c r="C296" s="5"/>
      <c r="Q296" s="55" t="s">
        <v>309</v>
      </c>
      <c r="R296" s="56"/>
      <c r="S296" s="56"/>
      <c r="T296" s="47"/>
      <c r="U296" s="5"/>
      <c r="AB296" s="16"/>
      <c r="AC296" s="31"/>
      <c r="AD296" s="16"/>
      <c r="AE296" s="16"/>
      <c r="AF296" s="16"/>
      <c r="AG296" s="16"/>
      <c r="AH296" s="16"/>
      <c r="AI296" s="16"/>
    </row>
    <row r="297" ht="33.0" customHeight="1">
      <c r="A297" s="54" t="s">
        <v>310</v>
      </c>
      <c r="B297" s="54">
        <v>49367.0</v>
      </c>
      <c r="C297" s="5"/>
      <c r="Q297" s="56"/>
      <c r="R297" s="56"/>
      <c r="S297" s="56"/>
      <c r="T297" s="47"/>
      <c r="U297" s="5"/>
      <c r="AB297" s="16"/>
      <c r="AC297" s="31"/>
      <c r="AD297" s="16"/>
      <c r="AE297" s="16"/>
      <c r="AF297" s="16"/>
      <c r="AG297" s="16"/>
      <c r="AH297" s="16"/>
      <c r="AI297" s="16"/>
    </row>
    <row r="298" ht="33.0" customHeight="1">
      <c r="A298" s="54" t="s">
        <v>311</v>
      </c>
      <c r="B298" s="54">
        <v>13.0</v>
      </c>
      <c r="C298" s="5"/>
      <c r="Q298" s="56"/>
      <c r="R298" s="56"/>
      <c r="S298" s="56"/>
      <c r="T298" s="47"/>
      <c r="U298" s="5"/>
      <c r="AB298" s="16"/>
      <c r="AC298" s="31"/>
      <c r="AD298" s="16"/>
      <c r="AE298" s="16"/>
      <c r="AF298" s="16"/>
      <c r="AG298" s="16"/>
      <c r="AH298" s="16"/>
      <c r="AI298" s="16"/>
    </row>
    <row r="299" ht="33.0" customHeight="1">
      <c r="A299" s="54" t="s">
        <v>312</v>
      </c>
      <c r="B299" s="54">
        <f>B296+B297+B298*1000-B304</f>
        <v>192367</v>
      </c>
      <c r="C299" s="5"/>
      <c r="Q299" s="5"/>
      <c r="R299" s="5"/>
      <c r="S299" s="5"/>
      <c r="T299" s="16"/>
      <c r="U299" s="5"/>
      <c r="AB299" s="16"/>
      <c r="AC299" s="31">
        <v>2.0</v>
      </c>
      <c r="AD299" s="16"/>
      <c r="AE299" s="16"/>
      <c r="AF299" s="16"/>
      <c r="AG299" s="16"/>
      <c r="AH299" s="16"/>
      <c r="AI299" s="16"/>
    </row>
    <row r="300" ht="14.25" customHeight="1">
      <c r="A300" s="54" t="s">
        <v>313</v>
      </c>
      <c r="B300" s="57">
        <f>ROUND(Q291 - B299,0)</f>
        <v>-192367</v>
      </c>
      <c r="C300" s="5"/>
      <c r="Q300" s="5"/>
      <c r="R300" s="5"/>
      <c r="S300" s="5"/>
      <c r="T300" s="16"/>
      <c r="U300" s="58"/>
      <c r="AB300" s="16"/>
      <c r="AC300" s="16"/>
      <c r="AD300" s="16"/>
      <c r="AE300" s="16"/>
      <c r="AF300" s="16"/>
      <c r="AG300" s="16"/>
      <c r="AH300" s="16"/>
      <c r="AI300" s="16"/>
    </row>
    <row r="301" ht="14.25" customHeight="1">
      <c r="A301" s="54" t="s">
        <v>299</v>
      </c>
      <c r="B301" s="54" t="s">
        <v>314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 ht="41.25" customHeight="1">
      <c r="A302" s="58" t="s">
        <v>315</v>
      </c>
      <c r="B302" s="5">
        <f>SUM(Q147:Q289)</f>
        <v>153269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6"/>
      <c r="U302" s="54" t="s">
        <v>316</v>
      </c>
      <c r="V302" s="59" t="s">
        <v>317</v>
      </c>
      <c r="W302" s="54" t="s">
        <v>318</v>
      </c>
      <c r="X302" s="54" t="s">
        <v>319</v>
      </c>
      <c r="Y302" s="54"/>
      <c r="Z302" s="54" t="s">
        <v>320</v>
      </c>
      <c r="AA302" s="57"/>
      <c r="AB302" s="57"/>
      <c r="AC302" s="57"/>
      <c r="AD302" s="57"/>
      <c r="AE302" s="16"/>
      <c r="AF302" s="16"/>
      <c r="AG302" s="16"/>
      <c r="AH302" s="16"/>
      <c r="AI302" s="16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6"/>
      <c r="U303" s="57">
        <f>ROUND(Q290*100/V303,1)</f>
        <v>26.4</v>
      </c>
      <c r="V303" s="59">
        <v>1200000.0</v>
      </c>
      <c r="W303" s="57">
        <f>MIN(S3:S290)</f>
        <v>-83335</v>
      </c>
      <c r="X303" s="57">
        <f>IFERROR(__xludf.DUMMYFUNCTION("arrayformula( max( len( split( join( """", left(S3:S290 &lt; 0) ), ""F"" ) ) ) )"),53.0)</f>
        <v>53</v>
      </c>
      <c r="Y303" s="57"/>
      <c r="Z303" s="57">
        <f>ROUND(W303 *100/V303,1)</f>
        <v>-6.9</v>
      </c>
      <c r="AA303" s="57"/>
      <c r="AB303" s="57"/>
      <c r="AC303" s="57"/>
      <c r="AD303" s="57"/>
      <c r="AE303" s="16"/>
      <c r="AF303" s="16"/>
      <c r="AG303" s="16"/>
      <c r="AH303" s="16"/>
      <c r="AI303" s="16"/>
    </row>
    <row r="304" ht="30.75" customHeight="1">
      <c r="A304" s="58"/>
      <c r="B304" s="5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6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16"/>
      <c r="AF304" s="16"/>
      <c r="AG304" s="16"/>
      <c r="AH304" s="16"/>
      <c r="AI304" s="16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6"/>
      <c r="U305" s="57"/>
      <c r="V305" s="54" t="s">
        <v>321</v>
      </c>
      <c r="W305" s="54" t="s">
        <v>322</v>
      </c>
      <c r="X305" s="54" t="s">
        <v>323</v>
      </c>
      <c r="Y305" s="54" t="s">
        <v>324</v>
      </c>
      <c r="Z305" s="54" t="s">
        <v>299</v>
      </c>
      <c r="AA305" s="54" t="s">
        <v>325</v>
      </c>
      <c r="AB305" s="54" t="s">
        <v>16</v>
      </c>
      <c r="AC305" s="54" t="s">
        <v>326</v>
      </c>
      <c r="AD305" s="54" t="s">
        <v>327</v>
      </c>
      <c r="AE305" s="16"/>
      <c r="AF305" s="16"/>
      <c r="AG305" s="16"/>
      <c r="AH305" s="16"/>
      <c r="AI305" s="16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6"/>
      <c r="U306" s="57"/>
      <c r="V306" s="57">
        <f>COUNTIF(Q3:Q290,"&gt;0")</f>
        <v>176</v>
      </c>
      <c r="W306" s="60">
        <f>COUNTIF(Q3:Q290,"&lt;0")</f>
        <v>108</v>
      </c>
      <c r="X306" s="57">
        <f t="shared" ref="X306:X311" si="24"> ROUND(V306 *100/Z306,0)</f>
        <v>62</v>
      </c>
      <c r="Y306" s="57">
        <f>ROUND(SUMIF(Q3:Q289,"&gt;0")/V306,0)</f>
        <v>6281</v>
      </c>
      <c r="Z306" s="57">
        <f t="shared" ref="Z306:Z311" si="25">W306+V306</f>
        <v>284</v>
      </c>
      <c r="AA306" s="57">
        <f>ROUND(SUMIF(Q3:Q290,"&lt;0")/W306,0)</f>
        <v>-7304</v>
      </c>
      <c r="AB306" s="54">
        <f>ROUND(SUM(Q3:Q289),0)</f>
        <v>316627</v>
      </c>
      <c r="AC306" s="57">
        <f>ROUND(AB306/Z306,0)</f>
        <v>1115</v>
      </c>
      <c r="AD306" s="57">
        <f>ROUND(AC306*100/V303,2)</f>
        <v>0.09</v>
      </c>
      <c r="AE306" s="16"/>
      <c r="AF306" s="16"/>
      <c r="AG306" s="16"/>
      <c r="AH306" s="16"/>
      <c r="AI306" s="16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6"/>
      <c r="U307" s="54" t="s">
        <v>30</v>
      </c>
      <c r="V307" s="57">
        <f>COUNTIFS(B3:B289,"Monday",Q3:Q289,"&gt;0")</f>
        <v>34</v>
      </c>
      <c r="W307" s="57">
        <f>COUNTIFS(B3:B289,"Monday",Q3:Q289,"&lt;0")</f>
        <v>22</v>
      </c>
      <c r="X307" s="57">
        <f t="shared" si="24"/>
        <v>61</v>
      </c>
      <c r="Y307" s="57">
        <f>ROUND(AVERAGEIFS(Q3:Q289,B3:B289,"Monday",Q3:Q289,"&gt;0"),0)</f>
        <v>5481</v>
      </c>
      <c r="Z307" s="57">
        <f t="shared" si="25"/>
        <v>56</v>
      </c>
      <c r="AA307" s="60">
        <f>ROUND(AVERAGEIFS(Q3:Q289,B3:B289,"Monday",Q3:Q289,"&lt;0"),0)</f>
        <v>-4840</v>
      </c>
      <c r="AB307" s="57">
        <f>SUMIFS(Q3:Q289,B3:B289,U307)</f>
        <v>79883</v>
      </c>
      <c r="AC307" s="57">
        <f t="shared" ref="AC307:AC311" si="26">ROUND(AB307/Z307,0)</f>
        <v>1426</v>
      </c>
      <c r="AD307" s="57">
        <f>ROUND(AC307*100/V303,2)</f>
        <v>0.12</v>
      </c>
      <c r="AE307" s="16"/>
      <c r="AF307" s="16"/>
      <c r="AG307" s="16"/>
      <c r="AH307" s="16"/>
      <c r="AI307" s="16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6"/>
      <c r="U308" s="54" t="s">
        <v>26</v>
      </c>
      <c r="V308" s="57">
        <f>COUNTIFS(B3:B289,"Tuesday",Q3:Q289,"&gt;0")</f>
        <v>44</v>
      </c>
      <c r="W308" s="57">
        <f>COUNTIFS(B3:B289,"Tuesday",Q3:Q289,"&lt;0")</f>
        <v>15</v>
      </c>
      <c r="X308" s="57">
        <f t="shared" si="24"/>
        <v>75</v>
      </c>
      <c r="Y308" s="57">
        <f>ROUND(AVERAGEIFS(Q3:Q289,B3:B289,"Tuesday",Q3:Q289,"&gt;0"),0)</f>
        <v>7233</v>
      </c>
      <c r="Z308" s="57">
        <f t="shared" si="25"/>
        <v>59</v>
      </c>
      <c r="AA308" s="60">
        <f>ROUND(AVERAGEIFS(Q3:Q289,B3:B289,"Tuesday",Q3:Q289,"&lt;0"),0)</f>
        <v>-7721</v>
      </c>
      <c r="AB308" s="57">
        <f>SUMIFS(Q4:Q289,B4:B289,U308)</f>
        <v>206475</v>
      </c>
      <c r="AC308" s="57">
        <f t="shared" si="26"/>
        <v>3500</v>
      </c>
      <c r="AD308" s="57">
        <f>ROUND(AC308*100/V303,2)</f>
        <v>0.29</v>
      </c>
      <c r="AE308" s="16"/>
      <c r="AF308" s="16"/>
      <c r="AG308" s="16"/>
      <c r="AH308" s="16"/>
      <c r="AI308" s="16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6"/>
      <c r="U309" s="54" t="s">
        <v>27</v>
      </c>
      <c r="V309" s="57">
        <f>COUNTIFS(B3:B289,"Wednesday",Q3:Q289,"&gt;0")</f>
        <v>32</v>
      </c>
      <c r="W309" s="57">
        <f>COUNTIFS(B3:B289,"Wednesday",Q3:Q289,"&lt;0")</f>
        <v>25</v>
      </c>
      <c r="X309" s="57">
        <f t="shared" si="24"/>
        <v>56</v>
      </c>
      <c r="Y309" s="57">
        <f>ROUND(AVERAGEIFS(Q3:Q289,B3:B289,"Wednesday",Q3:Q289,"&gt;0"),0)</f>
        <v>6606</v>
      </c>
      <c r="Z309" s="57">
        <f t="shared" si="25"/>
        <v>57</v>
      </c>
      <c r="AA309" s="60">
        <f>ROUND(AVERAGEIFS(Q3:Q289,B3:B289,"Wednesday",Q3:Q289,"&lt;0"),0)</f>
        <v>-7333</v>
      </c>
      <c r="AB309" s="57">
        <f>SUMIFS(Q5:Q289,B5:B289,U309)</f>
        <v>21973</v>
      </c>
      <c r="AC309" s="57">
        <f t="shared" si="26"/>
        <v>385</v>
      </c>
      <c r="AD309" s="57">
        <f>ROUND(AC309*100/V303,2)</f>
        <v>0.03</v>
      </c>
      <c r="AE309" s="16"/>
      <c r="AF309" s="16"/>
      <c r="AG309" s="16"/>
      <c r="AH309" s="16"/>
      <c r="AI309" s="16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6"/>
      <c r="U310" s="54" t="s">
        <v>28</v>
      </c>
      <c r="V310" s="57">
        <f>COUNTIFS(B3:B289,"Thursday",Q3:Q289,"&gt;0")</f>
        <v>33</v>
      </c>
      <c r="W310" s="57">
        <f>COUNTIFS(B3:B289,"Thursday",Q3:Q289,"&lt;0")</f>
        <v>21</v>
      </c>
      <c r="X310" s="57">
        <f t="shared" si="24"/>
        <v>61</v>
      </c>
      <c r="Y310" s="57">
        <f>ROUND(AVERAGEIFS(Q3:Q289,B3:B289,"Thursday",Q3:Q289,"&gt;0"),0)</f>
        <v>6655</v>
      </c>
      <c r="Z310" s="57">
        <f t="shared" si="25"/>
        <v>54</v>
      </c>
      <c r="AA310" s="60">
        <f>ROUND(AVERAGEIFS(Q3:Q289,B3:B289,"Thursday",Q3:Q289,"&lt;0"),0)</f>
        <v>-8905</v>
      </c>
      <c r="AB310" s="57">
        <f>SUMIFS(Q6:Q289,B6:B289,U310)</f>
        <v>22307</v>
      </c>
      <c r="AC310" s="57">
        <f t="shared" si="26"/>
        <v>413</v>
      </c>
      <c r="AD310" s="57">
        <f>ROUND(AC310*100/V303,2)</f>
        <v>0.03</v>
      </c>
      <c r="AE310" s="16"/>
      <c r="AF310" s="16"/>
      <c r="AG310" s="16"/>
      <c r="AH310" s="16"/>
      <c r="AI310" s="16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6"/>
      <c r="U311" s="54" t="s">
        <v>29</v>
      </c>
      <c r="V311" s="57">
        <f>COUNTIFS(B3:B289,"Friday",Q3:Q289,"&gt;0")</f>
        <v>31</v>
      </c>
      <c r="W311" s="57">
        <f>COUNTIFS(B3:B289,"Friday",Q3:Q289,"&lt;0")</f>
        <v>25</v>
      </c>
      <c r="X311" s="57">
        <f t="shared" si="24"/>
        <v>55</v>
      </c>
      <c r="Y311" s="57">
        <f>ROUND(AVERAGEIFS(Q3:Q289,B3:B289,"Friday",Q3:Q289,"&gt;0"),0)</f>
        <v>5318</v>
      </c>
      <c r="Z311" s="57">
        <f t="shared" si="25"/>
        <v>56</v>
      </c>
      <c r="AA311" s="60">
        <f>ROUND(AVERAGEIFS(Q3:Q289,B3:B289,"Friday",Q3:Q289,"&lt;0"),0)</f>
        <v>-7847</v>
      </c>
      <c r="AB311" s="57">
        <f>SUMIFS(Q7:Q289,B7:B289,U311)</f>
        <v>-39577</v>
      </c>
      <c r="AC311" s="57">
        <f t="shared" si="26"/>
        <v>-707</v>
      </c>
      <c r="AD311" s="57">
        <f>ROUND(AC311*100/V303,2)</f>
        <v>-0.06</v>
      </c>
      <c r="AE311" s="16"/>
      <c r="AF311" s="16"/>
      <c r="AG311" s="16"/>
      <c r="AH311" s="16"/>
      <c r="AI311" s="16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ht="14.25" customHeight="1">
      <c r="A320" s="58" t="s">
        <v>328</v>
      </c>
      <c r="B320" s="58">
        <v>14000.0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</row>
    <row r="1024" ht="15.75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</row>
    <row r="1025" ht="15.75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</row>
    <row r="1026" ht="15.75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</row>
    <row r="1027" ht="15.75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</row>
    <row r="1031" ht="15.75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</row>
    <row r="1032" ht="15.75" customHeight="1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</row>
    <row r="1033" ht="15.75" customHeight="1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</row>
    <row r="1034" ht="15.75" customHeight="1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</row>
    <row r="1035" ht="15.75" customHeight="1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</row>
    <row r="1036" ht="15.75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</row>
    <row r="1037" ht="15.75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</row>
    <row r="1038" ht="15.75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</row>
    <row r="1039" ht="15.75" customHeight="1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</row>
    <row r="1040" ht="15.75" customHeight="1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</row>
    <row r="1041" ht="15.75" customHeight="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</row>
    <row r="1042" ht="15.75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</row>
    <row r="1043" ht="15.75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</row>
    <row r="1044" ht="15.75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</row>
    <row r="1045" ht="15.75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</row>
    <row r="1046" ht="15.75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</row>
    <row r="1047" ht="15.75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</row>
    <row r="1048" ht="15.75" customHeight="1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</row>
    <row r="1049" ht="15.75" customHeight="1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</row>
    <row r="1052" ht="15.75" customHeight="1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</row>
    <row r="1053" ht="15.75" customHeight="1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</row>
    <row r="1054" ht="15.75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</row>
    <row r="1055" ht="15.75" customHeight="1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</row>
    <row r="1058" ht="15.75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</row>
    <row r="1059" ht="15.75" customHeight="1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</row>
    <row r="1060" ht="15.75" customHeight="1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</row>
    <row r="1061" ht="15.75" customHeight="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</row>
    <row r="1062" ht="15.75" customHeight="1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</row>
    <row r="1063" ht="15.75" customHeight="1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</row>
    <row r="1064" ht="15.75" customHeight="1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</row>
    <row r="1065" ht="15.75" customHeight="1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</row>
    <row r="1066" ht="15.75" customHeight="1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</row>
    <row r="1067" ht="15.75" customHeight="1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</row>
    <row r="1068" ht="15.75" customHeight="1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</row>
    <row r="1069" ht="15.75" customHeight="1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</row>
    <row r="1070" ht="15.75" customHeight="1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</row>
    <row r="1071" ht="15.75" customHeight="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</row>
    <row r="1072" ht="15.75" customHeight="1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</row>
    <row r="1073" ht="15.75" customHeight="1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</row>
    <row r="1074" ht="15.75" customHeight="1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</row>
    <row r="1075" ht="15.75" customHeight="1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</row>
    <row r="1076" ht="15.75" customHeight="1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</row>
    <row r="1077" ht="15.75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</row>
    <row r="1078" ht="15.75" customHeight="1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</row>
    <row r="1079" ht="15.75" customHeight="1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</row>
    <row r="1080" ht="15.75" customHeight="1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</row>
    <row r="1081" ht="15.75" customHeight="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</row>
    <row r="1082" ht="15.75" customHeight="1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</row>
    <row r="1083" ht="15.75" customHeight="1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</row>
    <row r="1084" ht="15.75" customHeight="1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</row>
    <row r="1085" ht="15.75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</row>
    <row r="1086" ht="15.75" customHeight="1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</row>
    <row r="1087" ht="15.75" customHeight="1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</row>
    <row r="1088" ht="15.75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</row>
    <row r="1089" ht="15.75" customHeight="1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</row>
    <row r="1090" ht="15.75" customHeight="1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</row>
    <row r="1091" ht="15.75" customHeight="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</row>
    <row r="1092" ht="15.75" customHeight="1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</row>
    <row r="1093" ht="15.75" customHeight="1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</row>
    <row r="1094" ht="15.75" customHeight="1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</row>
    <row r="1095" ht="15.75" customHeight="1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</row>
    <row r="1096" ht="15.75" customHeight="1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</row>
    <row r="1097" ht="15.75" customHeight="1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</row>
    <row r="1098" ht="15.75" customHeight="1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</row>
    <row r="1099" ht="15.75" customHeight="1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</row>
    <row r="1100" ht="15.75" customHeight="1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</row>
    <row r="1101" ht="15.75" customHeight="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</row>
    <row r="1102" ht="15.75" customHeight="1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</row>
    <row r="1103" ht="15.75" customHeight="1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</row>
    <row r="1104" ht="15.75" customHeight="1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</row>
    <row r="1105" ht="15.75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</row>
    <row r="1106" ht="15.75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</row>
    <row r="1107" ht="15.75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</row>
    <row r="1108" ht="15.75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</row>
    <row r="1109" ht="15.75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</row>
    <row r="1110" ht="15.75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</row>
    <row r="1111" ht="15.75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</row>
    <row r="1112" ht="15.75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</row>
    <row r="1113" ht="15.75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</row>
    <row r="1114" ht="15.75" customHeight="1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</row>
    <row r="1115" ht="15.75" customHeight="1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</row>
    <row r="1116" ht="15.75" customHeight="1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</row>
    <row r="1117" ht="15.75" customHeight="1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</row>
    <row r="1118" ht="15.75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</row>
    <row r="1119" ht="15.75" customHeight="1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</row>
    <row r="1120" ht="15.75" customHeight="1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</row>
    <row r="1121" ht="15.75" customHeight="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</row>
    <row r="1122" ht="15.75" customHeight="1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</row>
    <row r="1123" ht="15.75" customHeight="1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</row>
    <row r="1124" ht="15.75" customHeight="1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</row>
    <row r="1125" ht="15.75" customHeight="1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</row>
    <row r="1126" ht="15.75" customHeight="1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</row>
    <row r="1127" ht="15.75" customHeight="1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</row>
    <row r="1128" ht="15.75" customHeight="1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</row>
    <row r="1129" ht="15.75" customHeight="1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</row>
    <row r="1130" ht="15.75" customHeight="1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</row>
    <row r="1131" ht="15.75" customHeight="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</row>
    <row r="1132" ht="15.75" customHeight="1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</row>
    <row r="1133" ht="15.75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</row>
    <row r="1134" ht="15.75" customHeight="1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</row>
    <row r="1135" ht="15.75" customHeight="1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</row>
    <row r="1136" ht="15.75" customHeight="1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</row>
    <row r="1137" ht="15.75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</row>
    <row r="1138" ht="15.75" customHeight="1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</row>
    <row r="1139" ht="15.75" customHeight="1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</row>
    <row r="1140" ht="15.75" customHeight="1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</row>
    <row r="1141" ht="15.75" customHeight="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</row>
    <row r="1142" ht="15.75" customHeight="1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</row>
    <row r="1143" ht="15.75" customHeight="1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</row>
    <row r="1144" ht="15.75" customHeight="1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</row>
    <row r="1145" ht="15.75" customHeight="1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</row>
    <row r="1146" ht="15.75" customHeight="1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</row>
    <row r="1147" ht="15.75" customHeight="1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</row>
    <row r="1148" ht="15.75" customHeight="1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</row>
    <row r="1149" ht="15.75" customHeight="1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</row>
    <row r="1150" ht="15.75" customHeight="1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</row>
    <row r="1151" ht="15.75" customHeight="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</row>
    <row r="1152" ht="15.75" customHeight="1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</row>
    <row r="1153" ht="15.75" customHeight="1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</row>
    <row r="1154" ht="15.75" customHeight="1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</row>
    <row r="1155" ht="15.75" customHeight="1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</row>
    <row r="1156" ht="15.75" customHeight="1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</row>
    <row r="1157" ht="15.75" customHeight="1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</row>
    <row r="1158" ht="15.75" customHeight="1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</row>
    <row r="1159" ht="15.75" customHeight="1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</row>
    <row r="1160" ht="15.75" customHeight="1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</row>
    <row r="1161" ht="15.75" customHeight="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</row>
    <row r="1162" ht="15.75" customHeight="1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</row>
    <row r="1163" ht="15.75" customHeight="1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</row>
    <row r="1164" ht="15.75" customHeight="1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</row>
    <row r="1165" ht="15.75" customHeight="1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</row>
    <row r="1166" ht="15.75" customHeight="1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</row>
    <row r="1167" ht="15.75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</row>
    <row r="1168" ht="15.75" customHeight="1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</row>
    <row r="1169" ht="15.75" customHeight="1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</row>
    <row r="1170" ht="15.75" customHeight="1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</row>
    <row r="1171" ht="15.75" customHeight="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</row>
    <row r="1172" ht="15.75" customHeight="1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</row>
    <row r="1173" ht="15.75" customHeight="1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</row>
    <row r="1174" ht="15.75" customHeight="1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</row>
    <row r="1175" ht="15.75" customHeight="1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</row>
    <row r="1176" ht="15.75" customHeight="1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</row>
    <row r="1177" ht="15.75" customHeight="1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</row>
    <row r="1178" ht="15.75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</row>
    <row r="1179" ht="15.75" customHeight="1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</row>
    <row r="1180" ht="15.75" customHeight="1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</row>
    <row r="1181" ht="15.75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</row>
    <row r="1182" ht="15.75" customHeight="1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</row>
    <row r="1183" ht="15.75" customHeight="1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</row>
    <row r="1184" ht="15.75" customHeight="1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</row>
    <row r="1185" ht="15.75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</row>
    <row r="1186" ht="15.75" customHeight="1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</row>
    <row r="1187" ht="15.75" customHeight="1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</row>
    <row r="1188" ht="15.75" customHeight="1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</row>
    <row r="1189" ht="15.75" customHeight="1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</row>
    <row r="1190" ht="15.75" customHeight="1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</row>
    <row r="1191" ht="15.75" customHeight="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</row>
    <row r="1192" ht="15.75" customHeight="1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</row>
    <row r="1193" ht="15.75" customHeight="1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</row>
    <row r="1194" ht="15.75" customHeight="1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</row>
    <row r="1195" ht="15.75" customHeight="1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</row>
    <row r="1196" ht="15.75" customHeight="1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</row>
    <row r="1197" ht="15.75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</row>
    <row r="1198" ht="15.75" customHeight="1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</row>
    <row r="1199" ht="15.75" customHeight="1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</row>
    <row r="1200" ht="15.75" customHeight="1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</row>
    <row r="1201" ht="15.75" customHeight="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</row>
    <row r="1202" ht="15.75" customHeight="1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</row>
    <row r="1203" ht="15.75" customHeight="1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</row>
    <row r="1204" ht="15.75" customHeight="1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</row>
    <row r="1205" ht="15.75" customHeight="1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</row>
    <row r="1206" ht="15.75" customHeight="1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</row>
    <row r="1207" ht="15.75" customHeight="1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</row>
    <row r="1208" ht="15.75" customHeight="1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</row>
    <row r="1209" ht="15.75" customHeight="1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</row>
    <row r="1210" ht="15.75" customHeight="1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</row>
    <row r="1211" ht="15.75" customHeight="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</row>
    <row r="1212" ht="15.75" customHeight="1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</row>
    <row r="1213" ht="15.75" customHeight="1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</row>
    <row r="1214" ht="15.75" customHeight="1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</row>
    <row r="1215" ht="15.75" customHeight="1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</row>
    <row r="1216" ht="15.75" customHeight="1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</row>
    <row r="1217" ht="15.75" customHeight="1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</row>
    <row r="1218" ht="15.75" customHeight="1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</row>
    <row r="1219" ht="15.75" customHeight="1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</row>
    <row r="1220" ht="15.75" customHeight="1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</row>
    <row r="1221" ht="15.75" customHeight="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</row>
    <row r="1222" ht="15.75" customHeight="1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</row>
    <row r="1223" ht="15.75" customHeight="1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</row>
    <row r="1224" ht="15.75" customHeight="1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</row>
    <row r="1225" ht="15.75" customHeight="1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</row>
    <row r="1226" ht="15.75" customHeight="1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</row>
    <row r="1227" ht="15.75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</row>
    <row r="1228" ht="15.75" customHeight="1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</row>
    <row r="1229" ht="15.75" customHeight="1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</row>
    <row r="1230" ht="15.75" customHeight="1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</row>
    <row r="1231" ht="15.75" customHeight="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</row>
    <row r="1232" ht="15.75" customHeight="1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</row>
    <row r="1233" ht="15.75" customHeight="1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</row>
    <row r="1234" ht="15.75" customHeight="1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</row>
    <row r="1235" ht="15.75" customHeight="1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</row>
    <row r="1236" ht="15.75" customHeight="1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</row>
    <row r="1237" ht="15.75" customHeight="1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</row>
    <row r="1238" ht="15.75" customHeight="1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</row>
    <row r="1239" ht="15.75" customHeight="1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</row>
    <row r="1240" ht="15.75" customHeight="1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</row>
    <row r="1241" ht="15.75" customHeight="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</row>
    <row r="1242" ht="15.75" customHeight="1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</row>
    <row r="1243" ht="15.75" customHeight="1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</row>
    <row r="1244" ht="15.75" customHeight="1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</row>
    <row r="1245" ht="15.75" customHeight="1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</row>
    <row r="1246" ht="15.75" customHeight="1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</row>
    <row r="1247" ht="15.75" customHeight="1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</row>
    <row r="1248" ht="15.75" customHeight="1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</row>
    <row r="1249" ht="15.75" customHeight="1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</row>
    <row r="1250" ht="15.75" customHeight="1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</row>
    <row r="1251" ht="15.75" customHeight="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</row>
    <row r="1252" ht="15.75" customHeight="1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</row>
    <row r="1253" ht="15.75" customHeight="1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</row>
    <row r="1254" ht="15.75" customHeight="1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</row>
    <row r="1255" ht="15.75" customHeight="1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</row>
    <row r="1256" ht="15.75" customHeight="1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</row>
    <row r="1257" ht="15.75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</row>
    <row r="1258" ht="15.75" customHeight="1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</row>
    <row r="1259" ht="15.75" customHeight="1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</row>
    <row r="1260" ht="15.75" customHeight="1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</row>
    <row r="1261" ht="15.75" customHeight="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</row>
    <row r="1262" ht="15.75" customHeight="1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</row>
    <row r="1263" ht="15.75" customHeight="1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</row>
    <row r="1264" ht="15.75" customHeight="1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</row>
    <row r="1265" ht="15.75" customHeight="1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</row>
    <row r="1266" ht="15.75" customHeight="1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</row>
    <row r="1267" ht="15.75" customHeight="1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</row>
    <row r="1268" ht="15.75" customHeight="1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</row>
    <row r="1269" ht="15.75" customHeight="1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</row>
    <row r="1270" ht="15.75" customHeight="1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</row>
  </sheetData>
  <conditionalFormatting sqref="Q2:Q289">
    <cfRule type="colorScale" priority="1">
      <colorScale>
        <cfvo type="min"/>
        <cfvo type="formula" val="15"/>
        <cfvo type="max"/>
        <color rgb="FFE67C73"/>
        <color rgb="FFFFFFFF"/>
        <color rgb="FF57BB8A"/>
      </colorScale>
    </cfRule>
  </conditionalFormatting>
  <conditionalFormatting sqref="R2:R290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S2:S290">
    <cfRule type="colorScale" priority="3">
      <colorScale>
        <cfvo type="min"/>
        <cfvo type="max"/>
        <color rgb="FFE67C73"/>
        <color rgb="FFFFFFFF"/>
      </colorScale>
    </cfRule>
  </conditionalFormatting>
  <dataValidations>
    <dataValidation type="custom" allowBlank="1" showDropDown="1" sqref="C2:C20">
      <formula1>OR(NOT(ISERROR(DATEVALUE(C2))), AND(ISNUMBER(C2), LEFT(CELL("format", C2))="D"))</formula1>
    </dataValidation>
    <dataValidation type="custom" allowBlank="1" showDropDown="1" sqref="A2:A20 J2:J20 N2:P20 R2:R20">
      <formula1>AND(ISNUMBER(A2),(NOT(OR(NOT(ISERROR(DATEVALUE(A2))), AND(ISNUMBER(A2), LEFT(CELL("format", A2))="D")))))</formula1>
    </dataValidation>
    <dataValidation type="list" allowBlank="1" showDropDown="1" showErrorMessage="1" sqref="B2:B20">
      <formula1>"Tuesday,Wednesday,Thursday,Friday,Monday"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4.57"/>
    <col customWidth="1" min="3" max="3" width="17.29"/>
    <col customWidth="1" min="4" max="4" width="10.86"/>
    <col customWidth="1" min="5" max="5" width="16.43"/>
    <col customWidth="1" min="6" max="6" width="21.0"/>
  </cols>
  <sheetData>
    <row r="1" ht="32.25" customHeight="1">
      <c r="A1" s="61"/>
      <c r="B1" s="62" t="s">
        <v>329</v>
      </c>
      <c r="C1" s="62" t="s">
        <v>330</v>
      </c>
      <c r="D1" s="63" t="s">
        <v>23</v>
      </c>
      <c r="E1" s="62" t="s">
        <v>331</v>
      </c>
      <c r="F1" s="64" t="s">
        <v>332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14.25" customHeight="1">
      <c r="A2" s="46"/>
      <c r="B2" s="65">
        <v>45748.0</v>
      </c>
      <c r="C2" s="66">
        <f>SUM('Trade Book'!Q3:Q23)</f>
        <v>-10152</v>
      </c>
      <c r="D2" s="66">
        <v>1200000.0</v>
      </c>
      <c r="E2" s="46">
        <f t="shared" ref="E2:E15" si="1">IF(C2 ="N/A","", ROUND(C2*100/D2,2))</f>
        <v>-0.85</v>
      </c>
      <c r="F2" s="5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ht="14.25" customHeight="1">
      <c r="A3" s="46"/>
      <c r="B3" s="65">
        <v>45778.0</v>
      </c>
      <c r="C3" s="66">
        <f>SUM('Trade Book'!Q24:Q45)</f>
        <v>27132</v>
      </c>
      <c r="D3" s="66">
        <v>1200000.0</v>
      </c>
      <c r="E3" s="46">
        <f t="shared" si="1"/>
        <v>2.26</v>
      </c>
      <c r="F3" s="5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ht="14.25" customHeight="1">
      <c r="A4" s="46"/>
      <c r="B4" s="65">
        <v>45809.0</v>
      </c>
      <c r="C4" s="66">
        <f>SUM('Trade Book'!Q46:Q66)</f>
        <v>6250</v>
      </c>
      <c r="D4" s="66">
        <v>1200000.0</v>
      </c>
      <c r="E4" s="46">
        <f t="shared" si="1"/>
        <v>0.52</v>
      </c>
      <c r="F4" s="56">
        <f t="shared" ref="F4:F15" si="2">ROUND(AVERAGE(E2:E4),2)</f>
        <v>0.64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ht="14.25" customHeight="1">
      <c r="A5" s="46"/>
      <c r="B5" s="65">
        <v>45839.0</v>
      </c>
      <c r="C5" s="66">
        <f>SUM('Trade Book'!Q67:Q89)</f>
        <v>25899</v>
      </c>
      <c r="D5" s="66">
        <v>1200000.0</v>
      </c>
      <c r="E5" s="46">
        <f t="shared" si="1"/>
        <v>2.16</v>
      </c>
      <c r="F5" s="56">
        <f t="shared" si="2"/>
        <v>1.65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ht="14.25" customHeight="1">
      <c r="A6" s="46"/>
      <c r="B6" s="65">
        <v>45870.0</v>
      </c>
      <c r="C6" s="66">
        <f>SUM('Trade Book'!Q90:Q108)</f>
        <v>53958</v>
      </c>
      <c r="D6" s="66">
        <v>1200000.0</v>
      </c>
      <c r="E6" s="46">
        <f t="shared" si="1"/>
        <v>4.5</v>
      </c>
      <c r="F6" s="56">
        <f t="shared" si="2"/>
        <v>2.39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14.25" customHeight="1">
      <c r="A7" s="48"/>
      <c r="B7" s="65">
        <v>45901.0</v>
      </c>
      <c r="C7" s="66">
        <f>SUM('Trade Book'!Q109:Q130)</f>
        <v>64721</v>
      </c>
      <c r="D7" s="66">
        <v>1200000.0</v>
      </c>
      <c r="E7" s="46">
        <f t="shared" si="1"/>
        <v>5.39</v>
      </c>
      <c r="F7" s="56">
        <f t="shared" si="2"/>
        <v>4.02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ht="14.25" customHeight="1">
      <c r="A8" s="48"/>
      <c r="B8" s="65">
        <v>45931.0</v>
      </c>
      <c r="C8" s="66">
        <f>SUM('Trade Book'!Q131:Q150)</f>
        <v>12296</v>
      </c>
      <c r="D8" s="66">
        <v>1200000.0</v>
      </c>
      <c r="E8" s="46">
        <f t="shared" si="1"/>
        <v>1.02</v>
      </c>
      <c r="F8" s="56">
        <f t="shared" si="2"/>
        <v>3.64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14.25" customHeight="1">
      <c r="A9" s="48"/>
      <c r="B9" s="65">
        <v>45962.0</v>
      </c>
      <c r="C9" s="66">
        <f>SUM('Trade Book'!Q152:Q170)</f>
        <v>18018</v>
      </c>
      <c r="D9" s="66">
        <v>1200000.0</v>
      </c>
      <c r="E9" s="46">
        <f t="shared" si="1"/>
        <v>1.5</v>
      </c>
      <c r="F9" s="56">
        <f t="shared" si="2"/>
        <v>2.64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ht="14.25" customHeight="1">
      <c r="A10" s="48"/>
      <c r="B10" s="65">
        <v>45992.0</v>
      </c>
      <c r="C10" s="66">
        <f>SUM('Trade Book'!Q171:Q192)</f>
        <v>63457</v>
      </c>
      <c r="D10" s="66">
        <v>1200000.0</v>
      </c>
      <c r="E10" s="46">
        <f t="shared" si="1"/>
        <v>5.29</v>
      </c>
      <c r="F10" s="56">
        <f t="shared" si="2"/>
        <v>2.6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ht="14.25" customHeight="1">
      <c r="A11" s="48"/>
      <c r="B11" s="65">
        <v>46023.0</v>
      </c>
      <c r="C11" s="66">
        <f>SUM('Trade Book'!Q193:Q212)</f>
        <v>610</v>
      </c>
      <c r="D11" s="66">
        <v>1200000.0</v>
      </c>
      <c r="E11" s="46">
        <f t="shared" si="1"/>
        <v>0.05</v>
      </c>
      <c r="F11" s="56">
        <f t="shared" si="2"/>
        <v>2.28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ht="14.25" customHeight="1">
      <c r="A12" s="48"/>
      <c r="B12" s="65">
        <v>46054.0</v>
      </c>
      <c r="C12" s="66">
        <f>SUM('Trade Book'!Q213:Q233)</f>
        <v>66589</v>
      </c>
      <c r="D12" s="66">
        <v>1200000.0</v>
      </c>
      <c r="E12" s="46">
        <f t="shared" si="1"/>
        <v>5.55</v>
      </c>
      <c r="F12" s="56">
        <f t="shared" si="2"/>
        <v>3.63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14.25" customHeight="1">
      <c r="A13" s="48"/>
      <c r="B13" s="65">
        <v>46082.0</v>
      </c>
      <c r="C13" s="66">
        <f>SUM('Trade Book'!Q234:Q252)</f>
        <v>-48592</v>
      </c>
      <c r="D13" s="66">
        <v>1200000.0</v>
      </c>
      <c r="E13" s="46">
        <f t="shared" si="1"/>
        <v>-4.05</v>
      </c>
      <c r="F13" s="56">
        <f t="shared" si="2"/>
        <v>0.52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14.25" customHeight="1">
      <c r="A14" s="48"/>
      <c r="B14" s="65">
        <v>46113.0</v>
      </c>
      <c r="C14" s="66">
        <f>SUM('Trade Book'!Q253:Q271)</f>
        <v>8918</v>
      </c>
      <c r="D14" s="66">
        <v>1200000.0</v>
      </c>
      <c r="E14" s="46">
        <f t="shared" si="1"/>
        <v>0.74</v>
      </c>
      <c r="F14" s="56">
        <f t="shared" si="2"/>
        <v>0.75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14.25" customHeight="1">
      <c r="A15" s="48"/>
      <c r="B15" s="65">
        <v>46143.0</v>
      </c>
      <c r="C15" s="66">
        <f>SUM('Trade Book'!Q272:Q289)</f>
        <v>27144</v>
      </c>
      <c r="D15" s="66">
        <v>1200000.0</v>
      </c>
      <c r="E15" s="46">
        <f t="shared" si="1"/>
        <v>2.26</v>
      </c>
      <c r="F15" s="56">
        <f t="shared" si="2"/>
        <v>-0.35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ht="14.25" customHeight="1">
      <c r="A16" s="44" t="s">
        <v>299</v>
      </c>
      <c r="B16" s="48"/>
      <c r="C16" s="45">
        <f>SUM(C2:C14)</f>
        <v>289104</v>
      </c>
      <c r="D16" s="45"/>
      <c r="E16" s="45">
        <f>SUM(E2:E14)</f>
        <v>24.08</v>
      </c>
      <c r="F16" s="67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14.25" customHeight="1">
      <c r="A17" s="48"/>
      <c r="B17" s="48"/>
      <c r="C17" s="48"/>
      <c r="D17" s="44" t="s">
        <v>333</v>
      </c>
      <c r="E17" s="48">
        <f>ROUND(AVERAGE(E2:E13),1)</f>
        <v>1.9</v>
      </c>
      <c r="F17" s="52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14.25" customHeight="1">
      <c r="A18" s="48"/>
      <c r="B18" s="48"/>
      <c r="C18" s="48"/>
      <c r="D18" s="50"/>
      <c r="E18" s="48"/>
      <c r="F18" s="52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ht="14.25" customHeight="1">
      <c r="A19" s="5"/>
      <c r="B19" s="5"/>
      <c r="C19" s="5"/>
      <c r="D19" s="5"/>
      <c r="E19" s="5"/>
      <c r="F19" s="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14.25" customHeight="1">
      <c r="A20" s="5"/>
      <c r="B20" s="54" t="s">
        <v>317</v>
      </c>
      <c r="C20" s="54">
        <v>1200000.0</v>
      </c>
      <c r="D20" s="5"/>
      <c r="E20" s="5"/>
      <c r="F20" s="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ht="35.25" customHeight="1">
      <c r="A21" s="5"/>
      <c r="B21" s="54" t="s">
        <v>334</v>
      </c>
      <c r="C21" s="57">
        <f> ROUND(C16*100/C20,1)</f>
        <v>24.1</v>
      </c>
      <c r="D21" s="5"/>
      <c r="E21" s="5"/>
      <c r="F21" s="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33.75" customHeight="1">
      <c r="A22" s="5"/>
      <c r="B22" s="54"/>
      <c r="C22" s="57"/>
      <c r="D22" s="5"/>
      <c r="E22" s="5"/>
      <c r="F22" s="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ht="14.25" customHeight="1">
      <c r="A23" s="5"/>
      <c r="B23" s="54"/>
      <c r="C23" s="57"/>
      <c r="D23" s="5"/>
      <c r="E23" s="5"/>
      <c r="F23" s="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ht="14.25" customHeight="1">
      <c r="A24" s="5"/>
      <c r="B24" s="5"/>
      <c r="C24" s="5"/>
      <c r="D24" s="5"/>
      <c r="E24" s="5"/>
      <c r="F24" s="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ht="14.25" customHeight="1">
      <c r="A25" s="5"/>
      <c r="B25" s="5"/>
      <c r="C25" s="5"/>
      <c r="D25" s="5"/>
      <c r="E25" s="5"/>
      <c r="F25" s="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ht="14.25" customHeight="1">
      <c r="A26" s="16"/>
      <c r="B26" s="3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ht="14.25" customHeight="1">
      <c r="A27" s="16"/>
      <c r="B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ht="14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ht="14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ht="14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ht="14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ht="14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ht="14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ht="14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ht="14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ht="14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ht="14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ht="14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ht="14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ht="14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ht="14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ht="14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ht="14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ht="14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ht="14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ht="14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ht="14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ht="14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E2:F15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